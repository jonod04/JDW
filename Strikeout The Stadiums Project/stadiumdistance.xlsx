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nodietrich/Documents/CS524/"/>
    </mc:Choice>
  </mc:AlternateContent>
  <xr:revisionPtr revIDLastSave="0" documentId="13_ncr:1_{B3FEC295-C1B5-9749-B9E1-869F439D0FFE}" xr6:coauthVersionLast="47" xr6:coauthVersionMax="47" xr10:uidLastSave="{00000000-0000-0000-0000-000000000000}"/>
  <bookViews>
    <workbookView xWindow="0" yWindow="720" windowWidth="29400" windowHeight="18400" xr2:uid="{7EBFA389-9BCB-5646-8D86-8731C3DFDDC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 a="1"/>
  <c r="E4" i="3" s="1"/>
  <c r="AA28" i="3"/>
  <c r="AC31" i="3"/>
  <c r="AB31" i="3"/>
  <c r="AB29" i="3"/>
  <c r="AA29" i="3"/>
  <c r="Z29" i="3"/>
  <c r="Z28" i="3"/>
  <c r="Y31" i="3"/>
  <c r="Y29" i="3"/>
  <c r="Y28" i="3"/>
  <c r="Y27" i="3"/>
  <c r="Y26" i="3"/>
  <c r="X25" i="3"/>
  <c r="W25" i="3"/>
  <c r="X28" i="3"/>
  <c r="W28" i="3"/>
  <c r="V28" i="3"/>
  <c r="V25" i="3"/>
  <c r="U31" i="3"/>
  <c r="U28" i="3"/>
  <c r="U26" i="3"/>
  <c r="U27" i="3"/>
  <c r="U25" i="3"/>
  <c r="U24" i="3"/>
  <c r="U23" i="3"/>
  <c r="U22" i="3"/>
  <c r="T28" i="3"/>
  <c r="T25" i="3"/>
  <c r="T26" i="3"/>
  <c r="T21" i="3"/>
  <c r="U20" i="3" s="1" a="1"/>
  <c r="U20" i="3" s="1"/>
  <c r="S31" i="3"/>
  <c r="S28" i="3"/>
  <c r="S27" i="3"/>
  <c r="S26" i="3"/>
  <c r="S25" i="3"/>
  <c r="S24" i="3"/>
  <c r="S23" i="3"/>
  <c r="S22" i="3"/>
  <c r="S21" i="3"/>
  <c r="S20" i="3"/>
  <c r="R28" i="3"/>
  <c r="R25" i="3"/>
  <c r="R21" i="3"/>
  <c r="R19" i="3"/>
  <c r="X29" i="3"/>
  <c r="V29" i="3"/>
  <c r="W29" i="3"/>
  <c r="U29" i="3"/>
  <c r="T29" i="3"/>
  <c r="S29" i="3"/>
  <c r="R29" i="3"/>
  <c r="Q29" i="3"/>
  <c r="Q28" i="3"/>
  <c r="Q25" i="3"/>
  <c r="Q21" i="3"/>
  <c r="Q19" i="3"/>
  <c r="P29" i="3"/>
  <c r="P28" i="3"/>
  <c r="P25" i="3"/>
  <c r="P21" i="3"/>
  <c r="P19" i="3"/>
  <c r="AD31" i="3"/>
  <c r="AE30" i="3" s="1" a="1"/>
  <c r="AE30" i="3" s="1"/>
  <c r="AC30" i="3"/>
  <c r="AD29" i="3" s="1" a="1"/>
  <c r="AD29" i="3" s="1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O31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N30" i="3"/>
  <c r="N31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N13" i="3" s="1" a="1"/>
  <c r="N13" i="3" s="1"/>
  <c r="L30" i="3"/>
  <c r="L31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K30" i="3"/>
  <c r="K31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2" i="3"/>
  <c r="J30" i="3"/>
  <c r="J29" i="3"/>
  <c r="J28" i="3"/>
  <c r="I14" i="3"/>
  <c r="J25" i="3"/>
  <c r="J21" i="3"/>
  <c r="J19" i="3"/>
  <c r="J15" i="3"/>
  <c r="J14" i="3"/>
  <c r="J12" i="3"/>
  <c r="I30" i="3"/>
  <c r="I31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2" i="3"/>
  <c r="I10" i="3"/>
  <c r="H30" i="3"/>
  <c r="H29" i="3"/>
  <c r="H28" i="3"/>
  <c r="H25" i="3"/>
  <c r="H21" i="3"/>
  <c r="H19" i="3"/>
  <c r="H15" i="3"/>
  <c r="H14" i="3"/>
  <c r="H12" i="3"/>
  <c r="H9" i="3"/>
  <c r="G30" i="3"/>
  <c r="G29" i="3"/>
  <c r="G28" i="3"/>
  <c r="G25" i="3"/>
  <c r="G21" i="3"/>
  <c r="G19" i="3"/>
  <c r="G15" i="3"/>
  <c r="G14" i="3"/>
  <c r="G12" i="3"/>
  <c r="G9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2" i="3"/>
  <c r="F10" i="3"/>
  <c r="F9" i="3"/>
  <c r="F8" i="3"/>
  <c r="F7" i="3"/>
  <c r="E31" i="3"/>
  <c r="E30" i="3"/>
  <c r="E29" i="3"/>
  <c r="E28" i="3"/>
  <c r="E27" i="3"/>
  <c r="E26" i="3"/>
  <c r="E25" i="3"/>
  <c r="E24" i="3"/>
  <c r="E16" i="3"/>
  <c r="E15" i="3"/>
  <c r="E23" i="3"/>
  <c r="E22" i="3"/>
  <c r="E21" i="3"/>
  <c r="E20" i="3"/>
  <c r="E19" i="3"/>
  <c r="E18" i="3"/>
  <c r="E17" i="3"/>
  <c r="O16" i="3"/>
  <c r="E14" i="3"/>
  <c r="E12" i="3"/>
  <c r="E10" i="3"/>
  <c r="E9" i="3"/>
  <c r="E8" i="3"/>
  <c r="E7" i="3"/>
  <c r="E6" i="3"/>
  <c r="D30" i="3"/>
  <c r="D29" i="3"/>
  <c r="D28" i="3"/>
  <c r="D19" i="3"/>
  <c r="D25" i="3"/>
  <c r="D21" i="3"/>
  <c r="D15" i="3"/>
  <c r="D14" i="3"/>
  <c r="D12" i="3"/>
  <c r="D9" i="3"/>
  <c r="D6" i="3"/>
  <c r="D5" i="3"/>
  <c r="L13" i="3"/>
  <c r="K13" i="3"/>
  <c r="J13" i="3"/>
  <c r="I13" i="3"/>
  <c r="H13" i="3"/>
  <c r="G13" i="3"/>
  <c r="F13" i="3"/>
  <c r="E13" i="3"/>
  <c r="D13" i="3"/>
  <c r="J11" i="3"/>
  <c r="I11" i="3"/>
  <c r="H11" i="3"/>
  <c r="G11" i="3"/>
  <c r="D7" i="3"/>
  <c r="F11" i="3"/>
  <c r="E11" i="3"/>
  <c r="D11" i="3"/>
  <c r="C31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2" i="3"/>
  <c r="C10" i="3"/>
  <c r="C9" i="3"/>
  <c r="C8" i="3"/>
  <c r="C7" i="3"/>
  <c r="C6" i="3"/>
  <c r="C5" i="3"/>
  <c r="C4" i="3"/>
  <c r="B4" i="3"/>
  <c r="B5" i="3"/>
  <c r="B6" i="3"/>
  <c r="B7" i="3"/>
  <c r="B8" i="3"/>
  <c r="B9" i="3"/>
  <c r="C13" i="3"/>
  <c r="C11" i="3"/>
  <c r="B30" i="3"/>
  <c r="B29" i="3"/>
  <c r="B28" i="3"/>
  <c r="B25" i="3"/>
  <c r="B21" i="3"/>
  <c r="B19" i="3"/>
  <c r="B15" i="3"/>
  <c r="B14" i="3"/>
  <c r="B12" i="3"/>
  <c r="B13" i="3"/>
  <c r="B11" i="3"/>
  <c r="B3" i="3"/>
  <c r="AA31" i="3"/>
  <c r="Z31" i="3"/>
  <c r="Z27" i="3"/>
  <c r="X31" i="3"/>
  <c r="X27" i="3"/>
  <c r="X26" i="3"/>
  <c r="W31" i="3"/>
  <c r="W27" i="3"/>
  <c r="W26" i="3"/>
  <c r="W24" i="3"/>
  <c r="V31" i="3"/>
  <c r="V27" i="3"/>
  <c r="V26" i="3"/>
  <c r="V24" i="3"/>
  <c r="V23" i="3"/>
  <c r="Q1" i="3" a="1"/>
  <c r="Q1" i="3" s="1"/>
  <c r="B1" i="3" a="1"/>
  <c r="B1" i="3" s="1"/>
  <c r="T31" i="3"/>
  <c r="T27" i="3"/>
  <c r="T24" i="3"/>
  <c r="T23" i="3"/>
  <c r="T22" i="3"/>
  <c r="R31" i="3"/>
  <c r="R27" i="3"/>
  <c r="R26" i="3"/>
  <c r="R24" i="3"/>
  <c r="R23" i="3"/>
  <c r="R22" i="3"/>
  <c r="R20" i="3"/>
  <c r="Q31" i="3"/>
  <c r="Q27" i="3"/>
  <c r="Q26" i="3"/>
  <c r="Q24" i="3"/>
  <c r="Q23" i="3"/>
  <c r="Q22" i="3"/>
  <c r="Q20" i="3"/>
  <c r="Q18" i="3"/>
  <c r="P31" i="3"/>
  <c r="P27" i="3"/>
  <c r="P26" i="3"/>
  <c r="P24" i="3"/>
  <c r="P23" i="3"/>
  <c r="P22" i="3"/>
  <c r="P20" i="3"/>
  <c r="P18" i="3"/>
  <c r="P17" i="3"/>
  <c r="J31" i="3"/>
  <c r="J27" i="3"/>
  <c r="J26" i="3"/>
  <c r="J24" i="3"/>
  <c r="J23" i="3"/>
  <c r="J22" i="3"/>
  <c r="J20" i="3"/>
  <c r="J18" i="3"/>
  <c r="J17" i="3"/>
  <c r="J16" i="3"/>
  <c r="H31" i="3"/>
  <c r="H27" i="3"/>
  <c r="H26" i="3"/>
  <c r="H24" i="3"/>
  <c r="H23" i="3"/>
  <c r="H22" i="3"/>
  <c r="H20" i="3"/>
  <c r="H18" i="3"/>
  <c r="H17" i="3"/>
  <c r="H16" i="3"/>
  <c r="H10" i="3"/>
  <c r="G31" i="3"/>
  <c r="G27" i="3"/>
  <c r="G26" i="3"/>
  <c r="G24" i="3"/>
  <c r="G23" i="3"/>
  <c r="G22" i="3"/>
  <c r="G20" i="3"/>
  <c r="G18" i="3"/>
  <c r="G17" i="3"/>
  <c r="G16" i="3"/>
  <c r="G10" i="3"/>
  <c r="G8" i="3"/>
  <c r="D31" i="3"/>
  <c r="D27" i="3"/>
  <c r="D26" i="3"/>
  <c r="D24" i="3"/>
  <c r="D23" i="3"/>
  <c r="D22" i="3"/>
  <c r="D20" i="3"/>
  <c r="D18" i="3"/>
  <c r="D17" i="3"/>
  <c r="D16" i="3"/>
  <c r="D10" i="3"/>
  <c r="D8" i="3"/>
  <c r="B31" i="3"/>
  <c r="B27" i="3"/>
  <c r="B26" i="3"/>
  <c r="B24" i="3"/>
  <c r="B23" i="3"/>
  <c r="B22" i="3"/>
  <c r="B20" i="3"/>
  <c r="B18" i="3"/>
  <c r="B17" i="3"/>
  <c r="B16" i="3"/>
  <c r="B10" i="3"/>
  <c r="Y24" i="3" l="1" a="1"/>
  <c r="Y24" i="3" s="1"/>
  <c r="K10" i="3" a="1"/>
  <c r="K10" i="3" s="1"/>
  <c r="X23" i="3" a="1"/>
  <c r="X23" i="3" s="1"/>
  <c r="C2" i="3" a="1"/>
  <c r="C2" i="3" s="1"/>
  <c r="T19" i="3" a="1"/>
  <c r="T19" i="3" s="1"/>
  <c r="H7" i="3" a="1"/>
  <c r="H7" i="3" s="1"/>
  <c r="W22" i="3" a="1"/>
  <c r="W22" i="3" s="1"/>
  <c r="F5" i="3" a="1"/>
  <c r="F5" i="3" s="1"/>
  <c r="AC28" i="3" a="1"/>
  <c r="AC28" i="3" s="1"/>
  <c r="G6" i="3" a="1"/>
  <c r="G6" i="3" s="1"/>
  <c r="L11" i="3" a="1"/>
  <c r="L11" i="3" s="1"/>
  <c r="P15" i="3" a="1"/>
  <c r="P15" i="3" s="1"/>
  <c r="O14" i="3" a="1"/>
  <c r="O14" i="3" s="1"/>
  <c r="I8" i="3" a="1"/>
  <c r="I8" i="3" s="1"/>
  <c r="V21" i="3" a="1"/>
  <c r="V21" i="3" s="1"/>
  <c r="Q16" i="3" a="1"/>
  <c r="Q16" i="3" s="1"/>
  <c r="R17" i="3" a="1"/>
  <c r="R17" i="3" s="1"/>
  <c r="S18" i="3" a="1"/>
  <c r="S18" i="3" s="1"/>
  <c r="AA26" i="3" a="1"/>
  <c r="AA26" i="3" s="1"/>
  <c r="D3" i="3" a="1"/>
  <c r="D3" i="3" s="1"/>
  <c r="M12" i="3" a="1"/>
  <c r="M12" i="3" s="1"/>
  <c r="J9" i="3" a="1"/>
  <c r="J9" i="3" s="1"/>
  <c r="Z25" i="3" a="1"/>
  <c r="Z25" i="3" s="1"/>
  <c r="AB27" i="3" a="1"/>
  <c r="AB2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<sst xmlns="http://schemas.openxmlformats.org/spreadsheetml/2006/main" count="30" uniqueCount="30">
  <si>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ARZ</t>
  </si>
  <si>
    <t>ATH</t>
  </si>
  <si>
    <t>ATL</t>
  </si>
  <si>
    <t>BAL</t>
  </si>
  <si>
    <t>BOS</t>
  </si>
  <si>
    <t>CHC</t>
  </si>
  <si>
    <t>CWS</t>
  </si>
  <si>
    <t>CIN</t>
  </si>
  <si>
    <t>CLE</t>
  </si>
  <si>
    <t>COL</t>
  </si>
  <si>
    <t>DET</t>
  </si>
  <si>
    <t>HOU</t>
  </si>
  <si>
    <t>KCR</t>
  </si>
  <si>
    <t>LAA</t>
  </si>
  <si>
    <t>LAD</t>
  </si>
  <si>
    <t>MIA</t>
  </si>
  <si>
    <t>MIL</t>
  </si>
  <si>
    <t>MIN</t>
  </si>
  <si>
    <t>NYM</t>
  </si>
  <si>
    <t>NYY</t>
  </si>
  <si>
    <t>PHI</t>
  </si>
  <si>
    <t>PIT</t>
  </si>
  <si>
    <t>SDP</t>
  </si>
  <si>
    <t>SFG</t>
  </si>
  <si>
    <t>SEA</t>
  </si>
  <si>
    <t>STL</t>
  </si>
  <si>
    <t>TBR</t>
  </si>
  <si>
    <t>TEX</t>
  </si>
  <si>
    <t>TOR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</si>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</sst>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9B54-0E38-3A4F-8D3C-103759B8D83E}">
  <sheetPr>
    <pageSetUpPr fitToPage="1"/>
  </sheetPr>
  <dimension ref="A1:AF167"/>
  <sheetViews>
    <sheetView tabSelected="1" zoomScale="61" zoomScaleNormal="61" workbookViewId="0">
      <selection activeCell="J21" sqref="J21"/>
    </sheetView>
  </sheetViews>
  <sheetFormatPr baseColWidth="10" defaultColWidth="7.1640625" defaultRowHeight="36" customHeight="1" x14ac:dyDescent="0.2"/>
  <cols>
    <col min="1" max="1" width="7.1640625" style="1"/>
    <col min="2" max="16384" width="7.1640625" style="3"/>
  </cols>
  <sheetData>
    <row r="1" spans="1:32" s="1" customFormat="1" ht="36" customHeight="1" thickBot="1" x14ac:dyDescent="0.25">
      <c r="A1" s="14"/>
      <c r="B1" s="10" t="str" cm="1">
        <f t="array" ref="B1:P1">TRANSPOSE(A2:A16)</f>
        <v>ARZ</v>
      </c>
      <c r="C1" s="11" t="str">
        <v>ATH</v>
      </c>
      <c r="D1" s="11" t="str">
        <v>ATL</v>
      </c>
      <c r="E1" s="11" t="str">
        <v>BAL</v>
      </c>
      <c r="F1" s="11" t="str">
        <v>BOS</v>
      </c>
      <c r="G1" s="11" t="str">
        <v>CHC</v>
      </c>
      <c r="H1" s="11" t="str">
        <v>CIN</v>
      </c>
      <c r="I1" s="11" t="str">
        <v>CLE</v>
      </c>
      <c r="J1" s="11" t="str">
        <v>COL</v>
      </c>
      <c r="K1" s="11" t="str">
        <v>CWS</v>
      </c>
      <c r="L1" s="11" t="str">
        <v>DET</v>
      </c>
      <c r="M1" s="11" t="str">
        <v>HOU</v>
      </c>
      <c r="N1" s="11" t="str">
        <v>KCR</v>
      </c>
      <c r="O1" s="11" t="str">
        <v>LAA</v>
      </c>
      <c r="P1" s="11" t="str">
        <v>LAD</v>
      </c>
      <c r="Q1" s="11" t="str" cm="1">
        <f t="array" ref="Q1:AE1">TRANSPOSE(A17:A31)</f>
        <v>MIA</v>
      </c>
      <c r="R1" s="11" t="str">
        <v>MIL</v>
      </c>
      <c r="S1" s="11" t="str">
        <v>MIN</v>
      </c>
      <c r="T1" s="11" t="str">
        <v>NYM</v>
      </c>
      <c r="U1" s="11" t="str">
        <v>NYY</v>
      </c>
      <c r="V1" s="11" t="str">
        <v>PHI</v>
      </c>
      <c r="W1" s="11" t="str">
        <v>PIT</v>
      </c>
      <c r="X1" s="11" t="str">
        <v>SDP</v>
      </c>
      <c r="Y1" s="11" t="str">
        <v>SEA</v>
      </c>
      <c r="Z1" s="11" t="str">
        <v>SFG</v>
      </c>
      <c r="AA1" s="11" t="str">
        <v>STL</v>
      </c>
      <c r="AB1" s="11" t="str">
        <v>TBR</v>
      </c>
      <c r="AC1" s="11" t="str">
        <v>TEX</v>
      </c>
      <c r="AD1" s="11" t="str">
        <v>TOR</v>
      </c>
      <c r="AE1" s="11" t="str">
        <v>WAS</v>
      </c>
    </row>
    <row r="2" spans="1:32" ht="36" customHeight="1" thickTop="1" x14ac:dyDescent="0.2">
      <c r="A2" s="12" t="s">
        <v>0</v>
      </c>
      <c r="B2" s="8">
        <v>0</v>
      </c>
      <c r="C2" s="9" cm="1">
        <f t="array" ref="C2:AE2">TRANSPOSE(B3:B31)</f>
        <v>4.7666666666666666</v>
      </c>
      <c r="D2" s="9">
        <v>25.766666666666666</v>
      </c>
      <c r="E2" s="9">
        <v>32.283333333333331</v>
      </c>
      <c r="F2" s="9">
        <v>38.216666666666669</v>
      </c>
      <c r="G2" s="9">
        <v>25.283333333333335</v>
      </c>
      <c r="H2" s="9">
        <v>25.3</v>
      </c>
      <c r="I2" s="9">
        <v>28.416666666666668</v>
      </c>
      <c r="J2" s="9">
        <v>12.283333333333333</v>
      </c>
      <c r="K2" s="9">
        <v>24.55</v>
      </c>
      <c r="L2" s="9">
        <v>28.033333333333335</v>
      </c>
      <c r="M2" s="9">
        <v>16.416666666666668</v>
      </c>
      <c r="N2" s="9">
        <v>17.966666666666665</v>
      </c>
      <c r="O2" s="9">
        <v>5.25</v>
      </c>
      <c r="P2" s="9">
        <v>5.9666666666666668</v>
      </c>
      <c r="Q2" s="9">
        <v>33.049999999999997</v>
      </c>
      <c r="R2" s="9">
        <v>25.483333333333334</v>
      </c>
      <c r="S2" s="9">
        <v>23.966666666666665</v>
      </c>
      <c r="T2" s="9">
        <v>34.799999999999997</v>
      </c>
      <c r="U2" s="9">
        <v>34.65</v>
      </c>
      <c r="V2" s="9">
        <v>33.43333333333333</v>
      </c>
      <c r="W2" s="9">
        <v>29.05</v>
      </c>
      <c r="X2" s="9">
        <v>5.3666666666666663</v>
      </c>
      <c r="Y2" s="9">
        <v>20.816666666666666</v>
      </c>
      <c r="Z2" s="9">
        <v>11.766666666666667</v>
      </c>
      <c r="AA2" s="9">
        <v>20.45</v>
      </c>
      <c r="AB2" s="9">
        <v>29.833333333333332</v>
      </c>
      <c r="AC2" s="9">
        <v>14.533333333333333</v>
      </c>
      <c r="AD2" s="9">
        <v>33</v>
      </c>
      <c r="AE2" s="9">
        <v>33</v>
      </c>
      <c r="AF2" s="2"/>
    </row>
    <row r="3" spans="1:32" ht="36" customHeight="1" x14ac:dyDescent="0.2">
      <c r="A3" s="13" t="s">
        <v>1</v>
      </c>
      <c r="B3" s="7">
        <f>4+46/60</f>
        <v>4.7666666666666666</v>
      </c>
      <c r="C3" s="4">
        <v>0</v>
      </c>
      <c r="D3" s="5" cm="1">
        <f t="array" ref="D3:AE3">TRANSPOSE(C4:C31)</f>
        <v>27.516666666666666</v>
      </c>
      <c r="E3" s="5">
        <v>33.866666666666667</v>
      </c>
      <c r="F3" s="5">
        <v>38.4</v>
      </c>
      <c r="G3" s="5">
        <v>24.45</v>
      </c>
      <c r="H3" s="5">
        <v>26.983333333333334</v>
      </c>
      <c r="I3" s="5">
        <v>29.15</v>
      </c>
      <c r="J3" s="5">
        <v>10.683333333333334</v>
      </c>
      <c r="K3" s="5">
        <v>24.283333333333335</v>
      </c>
      <c r="L3" s="5">
        <v>28.05</v>
      </c>
      <c r="M3" s="5">
        <v>20.6</v>
      </c>
      <c r="N3" s="5">
        <v>18.683333333333334</v>
      </c>
      <c r="O3" s="5">
        <v>3.9666666666666668</v>
      </c>
      <c r="P3" s="5">
        <v>4.0333333333333332</v>
      </c>
      <c r="Q3" s="5">
        <v>36.216666666666669</v>
      </c>
      <c r="R3" s="5">
        <v>24.816666666666666</v>
      </c>
      <c r="S3" s="5">
        <v>22.983333333333334</v>
      </c>
      <c r="T3" s="5">
        <v>36.18333333333333</v>
      </c>
      <c r="U3" s="5">
        <v>35.916666666666664</v>
      </c>
      <c r="V3" s="5">
        <v>34.9</v>
      </c>
      <c r="W3" s="5">
        <v>30.633333333333333</v>
      </c>
      <c r="X3" s="5">
        <v>4.95</v>
      </c>
      <c r="Y3" s="5">
        <v>16.483333333333334</v>
      </c>
      <c r="Z3" s="5">
        <v>8.7333333333333325</v>
      </c>
      <c r="AA3" s="5">
        <v>22.133333333333333</v>
      </c>
      <c r="AB3" s="5">
        <v>33.266666666666666</v>
      </c>
      <c r="AC3" s="5">
        <v>17.399999999999999</v>
      </c>
      <c r="AD3" s="5">
        <v>33</v>
      </c>
      <c r="AE3" s="5">
        <v>34.216666666666669</v>
      </c>
      <c r="AF3" s="2"/>
    </row>
    <row r="4" spans="1:32" ht="36" customHeight="1" x14ac:dyDescent="0.2">
      <c r="A4" s="13" t="s">
        <v>2</v>
      </c>
      <c r="B4" s="7">
        <f>25+46/60</f>
        <v>25.766666666666666</v>
      </c>
      <c r="C4" s="5">
        <f>27+31/60</f>
        <v>27.516666666666666</v>
      </c>
      <c r="D4" s="4">
        <v>0</v>
      </c>
      <c r="E4" s="5" cm="1">
        <f t="array" ref="E4:AE4">TRANSPOSE(D5:D31)</f>
        <v>10.199999999999999</v>
      </c>
      <c r="F4" s="5">
        <v>17.383333333333333</v>
      </c>
      <c r="G4" s="5">
        <v>10.383333333333333</v>
      </c>
      <c r="H4" s="5">
        <v>6.4333333333333336</v>
      </c>
      <c r="I4" s="5">
        <v>9.8333333333333339</v>
      </c>
      <c r="J4" s="5">
        <v>19.566666666666666</v>
      </c>
      <c r="K4" s="5">
        <v>10.15</v>
      </c>
      <c r="L4" s="5">
        <v>10.066666666666666</v>
      </c>
      <c r="M4" s="5">
        <v>11.333333333333334</v>
      </c>
      <c r="N4" s="5">
        <v>11.166666666666666</v>
      </c>
      <c r="O4" s="5">
        <v>30.3</v>
      </c>
      <c r="P4" s="5">
        <v>30.4</v>
      </c>
      <c r="Q4" s="5">
        <v>9.4833333333333325</v>
      </c>
      <c r="R4" s="5">
        <v>11.583333333333334</v>
      </c>
      <c r="S4" s="5">
        <v>16</v>
      </c>
      <c r="T4" s="5">
        <v>13.45</v>
      </c>
      <c r="U4" s="5">
        <v>13.183333333333334</v>
      </c>
      <c r="V4" s="5">
        <v>11.416666666666666</v>
      </c>
      <c r="W4" s="5">
        <v>10.366666666666667</v>
      </c>
      <c r="X4" s="5">
        <v>29.666666666666668</v>
      </c>
      <c r="Y4" s="5">
        <v>27</v>
      </c>
      <c r="Z4" s="5">
        <v>34.916666666666664</v>
      </c>
      <c r="AA4" s="5">
        <v>8</v>
      </c>
      <c r="AB4" s="5">
        <v>6.6166666666666671</v>
      </c>
      <c r="AC4" s="5">
        <v>11.4</v>
      </c>
      <c r="AD4" s="5">
        <v>14.716666666666667</v>
      </c>
      <c r="AE4" s="5">
        <v>9.4</v>
      </c>
      <c r="AF4" s="2"/>
    </row>
    <row r="5" spans="1:32" ht="36" customHeight="1" x14ac:dyDescent="0.2">
      <c r="A5" s="13" t="s">
        <v>3</v>
      </c>
      <c r="B5" s="7">
        <f>32+17/60</f>
        <v>32.283333333333331</v>
      </c>
      <c r="C5" s="5">
        <f>33+52/60</f>
        <v>33.866666666666667</v>
      </c>
      <c r="D5" s="5">
        <f>10+12/60</f>
        <v>10.199999999999999</v>
      </c>
      <c r="E5" s="4">
        <v>0</v>
      </c>
      <c r="F5" s="5" cm="1">
        <f t="array" ref="F5:AE5">TRANSPOSE(E6:E31)</f>
        <v>6.05</v>
      </c>
      <c r="G5" s="5">
        <v>10.7</v>
      </c>
      <c r="H5" s="5">
        <v>7.6166666666666671</v>
      </c>
      <c r="I5" s="5">
        <v>5.5166666666666666</v>
      </c>
      <c r="J5" s="5">
        <v>23.383333333333333</v>
      </c>
      <c r="K5" s="5">
        <v>10.266666666666667</v>
      </c>
      <c r="L5" s="5">
        <v>7.65</v>
      </c>
      <c r="M5" s="5">
        <v>20.75</v>
      </c>
      <c r="N5" s="5">
        <v>15.283333333333333</v>
      </c>
      <c r="O5" s="5">
        <v>37.68333333333333</v>
      </c>
      <c r="P5" s="5">
        <v>37.75</v>
      </c>
      <c r="Q5" s="5">
        <v>15.7</v>
      </c>
      <c r="R5" s="5">
        <v>11.816666666666666</v>
      </c>
      <c r="S5" s="5">
        <v>16.366666666666667</v>
      </c>
      <c r="T5" s="5">
        <v>3.1666666666666665</v>
      </c>
      <c r="U5" s="5">
        <v>3.0166666666666666</v>
      </c>
      <c r="V5" s="5">
        <v>1.55</v>
      </c>
      <c r="W5" s="5">
        <v>3.8</v>
      </c>
      <c r="X5" s="5">
        <v>37.366666666666667</v>
      </c>
      <c r="Y5" s="5">
        <v>39.083333333333336</v>
      </c>
      <c r="Z5" s="5">
        <v>40.633333333333333</v>
      </c>
      <c r="AA5" s="5">
        <v>12</v>
      </c>
      <c r="AB5" s="5">
        <v>13.6</v>
      </c>
      <c r="AC5" s="5">
        <v>19.483333333333334</v>
      </c>
      <c r="AD5" s="5">
        <v>7.9333333333333336</v>
      </c>
      <c r="AE5" s="5">
        <v>0.68333333333333335</v>
      </c>
      <c r="AF5" s="2"/>
    </row>
    <row r="6" spans="1:32" ht="36" customHeight="1" x14ac:dyDescent="0.2">
      <c r="A6" s="13" t="s">
        <v>4</v>
      </c>
      <c r="B6" s="7">
        <f>38+13/60</f>
        <v>38.216666666666669</v>
      </c>
      <c r="C6" s="5">
        <f>38+24/60</f>
        <v>38.4</v>
      </c>
      <c r="D6" s="5">
        <f>17+23/60</f>
        <v>17.383333333333333</v>
      </c>
      <c r="E6" s="5">
        <f>6+3/60</f>
        <v>6.05</v>
      </c>
      <c r="F6" s="6">
        <v>0</v>
      </c>
      <c r="G6" s="5" cm="1">
        <f t="array" ref="G6:AE6">TRANSPOSE(F7:F31)</f>
        <v>15.2</v>
      </c>
      <c r="H6" s="5">
        <v>12.75</v>
      </c>
      <c r="I6" s="5">
        <v>9.3333333333333339</v>
      </c>
      <c r="J6" s="5">
        <v>28.75</v>
      </c>
      <c r="K6" s="5">
        <v>14.65</v>
      </c>
      <c r="L6" s="5">
        <v>11.766666666666667</v>
      </c>
      <c r="M6" s="5">
        <v>27.033333333333335</v>
      </c>
      <c r="N6" s="5">
        <v>20.399999999999999</v>
      </c>
      <c r="O6" s="5">
        <v>42.833333333333336</v>
      </c>
      <c r="P6" s="5">
        <v>42.783333333333331</v>
      </c>
      <c r="Q6" s="5">
        <v>21.85</v>
      </c>
      <c r="R6" s="5">
        <v>16.816666666666666</v>
      </c>
      <c r="S6" s="5">
        <v>21.3</v>
      </c>
      <c r="T6" s="5">
        <v>3.2833333333333332</v>
      </c>
      <c r="U6" s="5">
        <v>3.2333333333333334</v>
      </c>
      <c r="V6" s="5">
        <v>4.9333333333333336</v>
      </c>
      <c r="W6" s="5">
        <v>8.8000000000000007</v>
      </c>
      <c r="X6" s="5">
        <v>42.6</v>
      </c>
      <c r="Y6" s="5">
        <v>43.9</v>
      </c>
      <c r="Z6" s="5">
        <v>44.416666666666664</v>
      </c>
      <c r="AA6" s="5">
        <v>17.149999999999999</v>
      </c>
      <c r="AB6" s="5">
        <v>20.100000000000001</v>
      </c>
      <c r="AC6" s="5">
        <v>25.7</v>
      </c>
      <c r="AD6" s="5">
        <v>8.5833333333333339</v>
      </c>
      <c r="AE6" s="5">
        <v>6.9</v>
      </c>
      <c r="AF6" s="2"/>
    </row>
    <row r="7" spans="1:32" ht="36" customHeight="1" x14ac:dyDescent="0.2">
      <c r="A7" s="13" t="s">
        <v>5</v>
      </c>
      <c r="B7" s="7">
        <f>25+17/60</f>
        <v>25.283333333333335</v>
      </c>
      <c r="C7" s="5">
        <f>24+27/60</f>
        <v>24.45</v>
      </c>
      <c r="D7" s="5">
        <f>10+23/60</f>
        <v>10.383333333333333</v>
      </c>
      <c r="E7" s="5">
        <f>10+42/60</f>
        <v>10.7</v>
      </c>
      <c r="F7" s="5">
        <f>15+12/60</f>
        <v>15.2</v>
      </c>
      <c r="G7" s="6">
        <v>0</v>
      </c>
      <c r="H7" s="5" cm="1">
        <f t="array" ref="H7:AE7">TRANSPOSE(G8:G31)</f>
        <v>4.75</v>
      </c>
      <c r="I7" s="5">
        <v>5.4333333333333336</v>
      </c>
      <c r="J7" s="5">
        <v>14.616666666666667</v>
      </c>
      <c r="K7" s="5">
        <v>0.3</v>
      </c>
      <c r="L7" s="5">
        <v>4.3499999999999996</v>
      </c>
      <c r="M7" s="5">
        <v>15.95</v>
      </c>
      <c r="N7" s="5">
        <v>7.65</v>
      </c>
      <c r="O7" s="5">
        <v>28.733333333333334</v>
      </c>
      <c r="P7" s="5">
        <v>28.75</v>
      </c>
      <c r="Q7" s="5">
        <v>20.016666666666666</v>
      </c>
      <c r="R7" s="5">
        <v>1.6666666666666665</v>
      </c>
      <c r="S7" s="5">
        <v>6.0166666666666666</v>
      </c>
      <c r="T7" s="5">
        <v>12.983333333333333</v>
      </c>
      <c r="U7" s="5">
        <v>12.05</v>
      </c>
      <c r="V7" s="5">
        <v>11.95</v>
      </c>
      <c r="W7" s="5">
        <v>7.333333333333333</v>
      </c>
      <c r="X7" s="5">
        <v>29.566666666666666</v>
      </c>
      <c r="Y7" s="5">
        <v>28.85</v>
      </c>
      <c r="Z7" s="5">
        <v>30.066666666666666</v>
      </c>
      <c r="AA7" s="5">
        <v>4.6166666666666671</v>
      </c>
      <c r="AB7" s="5">
        <v>17.3</v>
      </c>
      <c r="AC7" s="5">
        <v>14.25</v>
      </c>
      <c r="AD7" s="5">
        <v>8.1666666666666661</v>
      </c>
      <c r="AE7" s="5">
        <v>11.3</v>
      </c>
      <c r="AF7" s="2"/>
    </row>
    <row r="8" spans="1:32" ht="36" customHeight="1" x14ac:dyDescent="0.2">
      <c r="A8" s="13" t="s">
        <v>7</v>
      </c>
      <c r="B8" s="7">
        <f>25+18/60</f>
        <v>25.3</v>
      </c>
      <c r="C8" s="5">
        <f>26+59/60</f>
        <v>26.983333333333334</v>
      </c>
      <c r="D8" s="5">
        <f>6+26/60</f>
        <v>6.4333333333333336</v>
      </c>
      <c r="E8" s="5">
        <f>7+37/60</f>
        <v>7.6166666666666671</v>
      </c>
      <c r="F8" s="5">
        <f>12+45/60</f>
        <v>12.75</v>
      </c>
      <c r="G8" s="5">
        <f>4+45/60</f>
        <v>4.75</v>
      </c>
      <c r="H8" s="6">
        <v>0</v>
      </c>
      <c r="I8" s="5" cm="1">
        <f t="array" ref="I8:AE8">TRANSPOSE(H9:H31)</f>
        <v>3.6</v>
      </c>
      <c r="J8" s="5">
        <v>16.783333333333335</v>
      </c>
      <c r="K8" s="5">
        <v>4.3833333333333337</v>
      </c>
      <c r="L8" s="5">
        <v>3.85</v>
      </c>
      <c r="M8" s="5">
        <v>15.35</v>
      </c>
      <c r="N8" s="5">
        <v>8.25</v>
      </c>
      <c r="O8" s="5">
        <v>31.183333333333334</v>
      </c>
      <c r="P8" s="5">
        <v>30.566666666666666</v>
      </c>
      <c r="Q8" s="5">
        <v>16</v>
      </c>
      <c r="R8" s="5">
        <v>5.75</v>
      </c>
      <c r="S8" s="5">
        <v>10.166666666666666</v>
      </c>
      <c r="T8" s="5">
        <v>10.133333333333333</v>
      </c>
      <c r="U8" s="5">
        <v>9.6833333333333336</v>
      </c>
      <c r="V8" s="5">
        <v>8.7833333333333332</v>
      </c>
      <c r="W8" s="5">
        <v>4.333333333333333</v>
      </c>
      <c r="X8" s="5">
        <v>30.75</v>
      </c>
      <c r="Y8" s="5">
        <v>33.049999999999997</v>
      </c>
      <c r="Z8" s="5">
        <v>26.216666666666665</v>
      </c>
      <c r="AA8" s="5">
        <v>5.0999999999999996</v>
      </c>
      <c r="AB8" s="5">
        <v>12.9</v>
      </c>
      <c r="AC8" s="5">
        <v>13.5</v>
      </c>
      <c r="AD8" s="5">
        <v>7.65</v>
      </c>
      <c r="AE8" s="5">
        <v>7.8666666666666671</v>
      </c>
      <c r="AF8" s="2"/>
    </row>
    <row r="9" spans="1:32" ht="36" customHeight="1" x14ac:dyDescent="0.2">
      <c r="A9" s="13" t="s">
        <v>8</v>
      </c>
      <c r="B9" s="7">
        <f>28+25/60</f>
        <v>28.416666666666668</v>
      </c>
      <c r="C9" s="5">
        <f>29+9/60</f>
        <v>29.15</v>
      </c>
      <c r="D9" s="5">
        <f>9+50/60</f>
        <v>9.8333333333333339</v>
      </c>
      <c r="E9" s="5">
        <f>5+31/60</f>
        <v>5.5166666666666666</v>
      </c>
      <c r="F9" s="5">
        <f>9+20/60</f>
        <v>9.3333333333333339</v>
      </c>
      <c r="G9" s="5">
        <f>5+26/60</f>
        <v>5.4333333333333336</v>
      </c>
      <c r="H9" s="5">
        <f>3+36/60</f>
        <v>3.6</v>
      </c>
      <c r="I9" s="6">
        <v>0</v>
      </c>
      <c r="J9" s="5" cm="1">
        <f t="array" ref="J9:AE9">TRANSPOSE(I10:I31)</f>
        <v>18.75</v>
      </c>
      <c r="K9" s="5">
        <v>5.2</v>
      </c>
      <c r="L9" s="5">
        <v>2.5499999999999998</v>
      </c>
      <c r="M9" s="5">
        <v>18.766666666666666</v>
      </c>
      <c r="N9" s="5">
        <v>11.166666666666666</v>
      </c>
      <c r="O9" s="5">
        <v>32.700000000000003</v>
      </c>
      <c r="P9" s="5">
        <v>32.783333333333331</v>
      </c>
      <c r="Q9" s="5">
        <v>17.883333333333333</v>
      </c>
      <c r="R9" s="5">
        <v>6.583333333333333</v>
      </c>
      <c r="S9" s="5">
        <v>11</v>
      </c>
      <c r="T9" s="5">
        <v>7.1833333333333336</v>
      </c>
      <c r="U9" s="5">
        <v>7</v>
      </c>
      <c r="V9" s="5">
        <v>6.5166666666666666</v>
      </c>
      <c r="W9" s="5">
        <v>2.0499999999999998</v>
      </c>
      <c r="X9" s="5">
        <v>33.666666666666664</v>
      </c>
      <c r="Y9" s="5">
        <v>33.866666666666667</v>
      </c>
      <c r="Z9" s="5">
        <v>34.666666666666664</v>
      </c>
      <c r="AA9" s="5">
        <v>7.916666666666667</v>
      </c>
      <c r="AB9" s="5">
        <v>16.133333333333333</v>
      </c>
      <c r="AC9" s="5">
        <v>17.2</v>
      </c>
      <c r="AD9" s="5">
        <v>4.583333333333333</v>
      </c>
      <c r="AE9" s="5">
        <v>5.8666666666666671</v>
      </c>
      <c r="AF9" s="2"/>
    </row>
    <row r="10" spans="1:32" ht="36" customHeight="1" x14ac:dyDescent="0.2">
      <c r="A10" s="13" t="s">
        <v>9</v>
      </c>
      <c r="B10" s="7">
        <f>12+17/60</f>
        <v>12.283333333333333</v>
      </c>
      <c r="C10" s="5">
        <f>10+41/60</f>
        <v>10.683333333333334</v>
      </c>
      <c r="D10" s="5">
        <f>19+34/60</f>
        <v>19.566666666666666</v>
      </c>
      <c r="E10" s="5">
        <f>23+23/60</f>
        <v>23.383333333333333</v>
      </c>
      <c r="F10" s="5">
        <f>28+45/60</f>
        <v>28.75</v>
      </c>
      <c r="G10" s="5">
        <f>14+37/60</f>
        <v>14.616666666666667</v>
      </c>
      <c r="H10" s="5">
        <f>16+47/60</f>
        <v>16.783333333333335</v>
      </c>
      <c r="I10" s="5">
        <f>18+45/60</f>
        <v>18.75</v>
      </c>
      <c r="J10" s="6">
        <v>0</v>
      </c>
      <c r="K10" s="5" cm="1">
        <f t="array" ref="K10:AE10">TRANSPOSE(J11:J31)</f>
        <v>14.366666666666667</v>
      </c>
      <c r="L10" s="5">
        <v>18.166666666666668</v>
      </c>
      <c r="M10" s="5">
        <v>15.283333333333333</v>
      </c>
      <c r="N10" s="5">
        <v>8.25</v>
      </c>
      <c r="O10" s="5">
        <v>14.616666666666667</v>
      </c>
      <c r="P10" s="5">
        <v>15.283333333333333</v>
      </c>
      <c r="Q10" s="5">
        <v>29.35</v>
      </c>
      <c r="R10" s="5">
        <v>14.433333333333334</v>
      </c>
      <c r="S10" s="5">
        <v>12.716666666666667</v>
      </c>
      <c r="T10" s="5">
        <v>25.966666666666665</v>
      </c>
      <c r="U10" s="5">
        <v>25.85</v>
      </c>
      <c r="V10" s="5">
        <v>24.566666666666666</v>
      </c>
      <c r="W10" s="5">
        <v>20.5</v>
      </c>
      <c r="X10" s="5">
        <v>15.883333333333333</v>
      </c>
      <c r="Y10" s="5">
        <v>18.8</v>
      </c>
      <c r="Z10" s="5">
        <v>12.866666666666667</v>
      </c>
      <c r="AA10" s="5">
        <v>11.866666666666667</v>
      </c>
      <c r="AB10" s="5">
        <v>26.266666666666666</v>
      </c>
      <c r="AC10" s="5">
        <v>11.5</v>
      </c>
      <c r="AD10" s="5">
        <v>22.3</v>
      </c>
      <c r="AE10" s="5">
        <v>11.866666666666667</v>
      </c>
      <c r="AF10" s="2"/>
    </row>
    <row r="11" spans="1:32" ht="36" customHeight="1" x14ac:dyDescent="0.2">
      <c r="A11" s="13" t="s">
        <v>6</v>
      </c>
      <c r="B11" s="7">
        <f>24+33/60</f>
        <v>24.55</v>
      </c>
      <c r="C11" s="5">
        <f>24+17/60</f>
        <v>24.283333333333335</v>
      </c>
      <c r="D11" s="5">
        <f>10+9/60</f>
        <v>10.15</v>
      </c>
      <c r="E11" s="5">
        <f>10+16/60</f>
        <v>10.266666666666667</v>
      </c>
      <c r="F11" s="5">
        <f>14+39/60</f>
        <v>14.65</v>
      </c>
      <c r="G11" s="5">
        <f>0+18/60</f>
        <v>0.3</v>
      </c>
      <c r="H11" s="5">
        <f>4+23/60</f>
        <v>4.3833333333333337</v>
      </c>
      <c r="I11" s="5">
        <f>5+12/60</f>
        <v>5.2</v>
      </c>
      <c r="J11" s="5">
        <f>14+22/60</f>
        <v>14.366666666666667</v>
      </c>
      <c r="K11" s="6">
        <v>0</v>
      </c>
      <c r="L11" s="5" cm="1">
        <f t="array" ref="L11:AE11">TRANSPOSE(K12:K31)</f>
        <v>13.983333333333333</v>
      </c>
      <c r="M11" s="5">
        <v>15.7</v>
      </c>
      <c r="N11" s="5">
        <v>7.45</v>
      </c>
      <c r="O11" s="5">
        <v>28.566666666666666</v>
      </c>
      <c r="P11" s="5">
        <v>28.7</v>
      </c>
      <c r="Q11" s="5">
        <v>19.883333333333333</v>
      </c>
      <c r="R11" s="5">
        <v>1.5</v>
      </c>
      <c r="S11" s="5">
        <v>6.0166666666666666</v>
      </c>
      <c r="T11" s="5">
        <v>12.066666666666666</v>
      </c>
      <c r="U11" s="5">
        <v>11.8</v>
      </c>
      <c r="V11" s="5">
        <v>11.45</v>
      </c>
      <c r="W11" s="5">
        <v>6.8166666666666664</v>
      </c>
      <c r="X11" s="5">
        <v>29.533333333333335</v>
      </c>
      <c r="Y11" s="5">
        <v>28.9</v>
      </c>
      <c r="Z11" s="5">
        <v>29.716666666666665</v>
      </c>
      <c r="AA11" s="5">
        <v>4.3166666666666664</v>
      </c>
      <c r="AB11" s="5">
        <v>17.033333333333335</v>
      </c>
      <c r="AC11" s="5">
        <v>14.016666666666667</v>
      </c>
      <c r="AD11" s="5">
        <v>7.9</v>
      </c>
      <c r="AE11" s="5">
        <v>10.666666666666666</v>
      </c>
      <c r="AF11" s="2"/>
    </row>
    <row r="12" spans="1:32" ht="36" customHeight="1" x14ac:dyDescent="0.2">
      <c r="A12" s="13" t="s">
        <v>10</v>
      </c>
      <c r="B12" s="7">
        <f>28+2/60</f>
        <v>28.033333333333335</v>
      </c>
      <c r="C12" s="5">
        <f>28+3/60</f>
        <v>28.05</v>
      </c>
      <c r="D12" s="5">
        <f>10+4/60</f>
        <v>10.066666666666666</v>
      </c>
      <c r="E12" s="5">
        <f>7+39/60</f>
        <v>7.65</v>
      </c>
      <c r="F12" s="5">
        <f>11+46/60</f>
        <v>11.766666666666667</v>
      </c>
      <c r="G12" s="5">
        <f>4+21/60</f>
        <v>4.3499999999999996</v>
      </c>
      <c r="H12" s="5">
        <f>3+51/60</f>
        <v>3.85</v>
      </c>
      <c r="I12" s="5">
        <f>2+33/60</f>
        <v>2.5499999999999998</v>
      </c>
      <c r="J12" s="5">
        <f>18+10/60</f>
        <v>18.166666666666668</v>
      </c>
      <c r="K12" s="5">
        <f>13+59/60</f>
        <v>13.983333333333333</v>
      </c>
      <c r="L12" s="6">
        <v>0</v>
      </c>
      <c r="M12" s="5" cm="1">
        <f t="array" ref="M12:AE12">TRANSPOSE(L13:L31)</f>
        <v>18.816666666666666</v>
      </c>
      <c r="N12" s="5">
        <v>10.833333333333334</v>
      </c>
      <c r="O12" s="5">
        <v>31.783333333333335</v>
      </c>
      <c r="P12" s="5">
        <v>31.933333333333334</v>
      </c>
      <c r="Q12" s="5">
        <v>19.816666666666666</v>
      </c>
      <c r="R12" s="5">
        <v>5.5166666666666666</v>
      </c>
      <c r="S12" s="5">
        <v>9.9166666666666661</v>
      </c>
      <c r="T12" s="5">
        <v>9.4499999999999993</v>
      </c>
      <c r="U12" s="5">
        <v>9.2166666666666668</v>
      </c>
      <c r="V12" s="5">
        <v>8.6999999999999993</v>
      </c>
      <c r="W12" s="5">
        <v>4.2</v>
      </c>
      <c r="X12" s="5">
        <v>32.716666666666669</v>
      </c>
      <c r="Y12" s="5">
        <v>32.783333333333331</v>
      </c>
      <c r="Z12" s="5">
        <v>33.283333333333331</v>
      </c>
      <c r="AA12" s="5">
        <v>7.583333333333333</v>
      </c>
      <c r="AB12" s="5">
        <v>16.966666666666665</v>
      </c>
      <c r="AC12" s="5">
        <v>17.233333333333334</v>
      </c>
      <c r="AD12" s="5">
        <v>3.7666666666666666</v>
      </c>
      <c r="AE12" s="5">
        <v>7.9833333333333334</v>
      </c>
      <c r="AF12" s="2"/>
    </row>
    <row r="13" spans="1:32" ht="36" customHeight="1" x14ac:dyDescent="0.2">
      <c r="A13" s="13" t="s">
        <v>11</v>
      </c>
      <c r="B13" s="7">
        <f>16+25/60</f>
        <v>16.416666666666668</v>
      </c>
      <c r="C13" s="5">
        <f>20+36/60</f>
        <v>20.6</v>
      </c>
      <c r="D13" s="5">
        <f>11+20/60</f>
        <v>11.333333333333334</v>
      </c>
      <c r="E13" s="5">
        <f>20+45/60</f>
        <v>20.75</v>
      </c>
      <c r="F13" s="5">
        <f>27+2/60</f>
        <v>27.033333333333335</v>
      </c>
      <c r="G13" s="5">
        <f>15+57/60</f>
        <v>15.95</v>
      </c>
      <c r="H13" s="5">
        <f>15+21/60</f>
        <v>15.35</v>
      </c>
      <c r="I13" s="5">
        <f>18+46/60</f>
        <v>18.766666666666666</v>
      </c>
      <c r="J13" s="5">
        <f>15+17/60</f>
        <v>15.283333333333333</v>
      </c>
      <c r="K13" s="5">
        <f>15+42/60</f>
        <v>15.7</v>
      </c>
      <c r="L13" s="5">
        <f>18+49/60</f>
        <v>18.816666666666666</v>
      </c>
      <c r="M13" s="6">
        <v>0</v>
      </c>
      <c r="N13" s="5" cm="1">
        <f t="array" ref="N13:AE13">TRANSPOSE(M14:M31)</f>
        <v>10.883333333333333</v>
      </c>
      <c r="O13" s="5">
        <v>21.033333333333335</v>
      </c>
      <c r="P13" s="5">
        <v>21.3</v>
      </c>
      <c r="Q13" s="5">
        <v>16.899999999999999</v>
      </c>
      <c r="R13" s="5">
        <v>16.866666666666667</v>
      </c>
      <c r="S13" s="5">
        <v>17.149999999999999</v>
      </c>
      <c r="T13" s="5">
        <v>23.816666666666666</v>
      </c>
      <c r="U13" s="5">
        <v>23.65</v>
      </c>
      <c r="V13" s="5">
        <v>22.133333333333333</v>
      </c>
      <c r="W13" s="5">
        <v>19.3</v>
      </c>
      <c r="X13" s="5">
        <v>20.149999999999999</v>
      </c>
      <c r="Y13" s="5">
        <v>33.299999999999997</v>
      </c>
      <c r="Z13" s="5">
        <v>26.65</v>
      </c>
      <c r="AA13" s="5">
        <v>11.7</v>
      </c>
      <c r="AB13" s="5">
        <v>14.05</v>
      </c>
      <c r="AC13" s="5">
        <v>3.75</v>
      </c>
      <c r="AD13" s="5">
        <v>23.283333333333335</v>
      </c>
      <c r="AE13" s="5">
        <v>20.233333333333334</v>
      </c>
      <c r="AF13" s="2"/>
    </row>
    <row r="14" spans="1:32" ht="36" customHeight="1" x14ac:dyDescent="0.2">
      <c r="A14" s="13" t="s">
        <v>12</v>
      </c>
      <c r="B14" s="7">
        <f>17+58/60</f>
        <v>17.966666666666665</v>
      </c>
      <c r="C14" s="5">
        <f>18+41/60</f>
        <v>18.683333333333334</v>
      </c>
      <c r="D14" s="5">
        <f>11+10/60</f>
        <v>11.166666666666666</v>
      </c>
      <c r="E14" s="5">
        <f>15+17/60</f>
        <v>15.283333333333333</v>
      </c>
      <c r="F14" s="5">
        <f>20+24/60</f>
        <v>20.399999999999999</v>
      </c>
      <c r="G14" s="5">
        <f>7+39/60</f>
        <v>7.65</v>
      </c>
      <c r="H14" s="5">
        <f>8+15/60</f>
        <v>8.25</v>
      </c>
      <c r="I14" s="5">
        <f>11+10/60</f>
        <v>11.166666666666666</v>
      </c>
      <c r="J14" s="5">
        <f>8+15/60</f>
        <v>8.25</v>
      </c>
      <c r="K14" s="5">
        <f>7+27/60</f>
        <v>7.45</v>
      </c>
      <c r="L14" s="5">
        <f>10+50/60</f>
        <v>10.833333333333334</v>
      </c>
      <c r="M14" s="5">
        <f>10+53/60</f>
        <v>10.883333333333333</v>
      </c>
      <c r="N14" s="6">
        <v>0</v>
      </c>
      <c r="O14" s="5" cm="1">
        <f t="array" ref="O14:AE14">TRANSPOSE(N15:N31)</f>
        <v>22.75</v>
      </c>
      <c r="P14" s="5">
        <v>22.883333333333333</v>
      </c>
      <c r="Q14" s="5">
        <v>21</v>
      </c>
      <c r="R14" s="5">
        <v>7.916666666666667</v>
      </c>
      <c r="S14" s="5">
        <v>6.3666666666666663</v>
      </c>
      <c r="T14" s="5">
        <v>17.899999999999999</v>
      </c>
      <c r="U14" s="5">
        <v>17.716666666666665</v>
      </c>
      <c r="V14" s="5">
        <v>16.533333333333335</v>
      </c>
      <c r="W14" s="5">
        <v>12.133333333333333</v>
      </c>
      <c r="X14" s="5">
        <v>22.933333333333334</v>
      </c>
      <c r="Y14" s="5">
        <v>26.016666666666666</v>
      </c>
      <c r="Z14" s="5">
        <v>25.35</v>
      </c>
      <c r="AA14" s="5">
        <v>3.7</v>
      </c>
      <c r="AB14" s="5">
        <v>18.133333333333333</v>
      </c>
      <c r="AC14" s="5">
        <v>8</v>
      </c>
      <c r="AD14" s="5">
        <v>14.85</v>
      </c>
      <c r="AE14" s="5">
        <v>15.633333333333333</v>
      </c>
      <c r="AF14" s="2"/>
    </row>
    <row r="15" spans="1:32" ht="36" customHeight="1" x14ac:dyDescent="0.2">
      <c r="A15" s="13" t="s">
        <v>13</v>
      </c>
      <c r="B15" s="7">
        <f>5+15/60</f>
        <v>5.25</v>
      </c>
      <c r="C15" s="5">
        <f>3+58/60</f>
        <v>3.9666666666666668</v>
      </c>
      <c r="D15" s="5">
        <f>30+18/60</f>
        <v>30.3</v>
      </c>
      <c r="E15" s="5">
        <f>37+41/60</f>
        <v>37.68333333333333</v>
      </c>
      <c r="F15" s="5">
        <f>42+50/60</f>
        <v>42.833333333333336</v>
      </c>
      <c r="G15" s="5">
        <f>28+44/60</f>
        <v>28.733333333333334</v>
      </c>
      <c r="H15" s="5">
        <f>31+11/60</f>
        <v>31.183333333333334</v>
      </c>
      <c r="I15" s="5">
        <f>32+42/60</f>
        <v>32.700000000000003</v>
      </c>
      <c r="J15" s="5">
        <f>14+37/60</f>
        <v>14.616666666666667</v>
      </c>
      <c r="K15" s="5">
        <f>28+34/60</f>
        <v>28.566666666666666</v>
      </c>
      <c r="L15" s="5">
        <f>31+47/60</f>
        <v>31.783333333333335</v>
      </c>
      <c r="M15" s="5">
        <f>21+2/60</f>
        <v>21.033333333333335</v>
      </c>
      <c r="N15" s="5">
        <f>22+45/60</f>
        <v>22.75</v>
      </c>
      <c r="O15" s="6">
        <v>0</v>
      </c>
      <c r="P15" s="5" cm="1">
        <f t="array" ref="P15:AE15">TRANSPOSE(O16:O31)</f>
        <v>0.56666666666666665</v>
      </c>
      <c r="Q15" s="5">
        <v>37.516666666666666</v>
      </c>
      <c r="R15" s="5">
        <v>28.016666666666666</v>
      </c>
      <c r="S15" s="5">
        <v>26.416666666666668</v>
      </c>
      <c r="T15" s="5">
        <v>39.033333333333331</v>
      </c>
      <c r="U15" s="5">
        <v>38.85</v>
      </c>
      <c r="V15" s="5">
        <v>37.68333333333333</v>
      </c>
      <c r="W15" s="5">
        <v>33.516666666666666</v>
      </c>
      <c r="X15" s="5">
        <v>1.6</v>
      </c>
      <c r="Y15" s="5">
        <v>18.233333333333334</v>
      </c>
      <c r="Z15" s="5">
        <v>6.95</v>
      </c>
      <c r="AA15" s="5">
        <v>25.05</v>
      </c>
      <c r="AB15" s="5">
        <v>34.75</v>
      </c>
      <c r="AC15" s="5">
        <v>19.533333333333335</v>
      </c>
      <c r="AD15" s="5">
        <v>36</v>
      </c>
      <c r="AE15" s="5">
        <v>36.716666666666669</v>
      </c>
      <c r="AF15" s="2"/>
    </row>
    <row r="16" spans="1:32" ht="36" customHeight="1" x14ac:dyDescent="0.2">
      <c r="A16" s="13" t="s">
        <v>14</v>
      </c>
      <c r="B16" s="7">
        <f>5+58/60</f>
        <v>5.9666666666666668</v>
      </c>
      <c r="C16" s="5">
        <f>4+2/60</f>
        <v>4.0333333333333332</v>
      </c>
      <c r="D16" s="5">
        <f>30+24/60</f>
        <v>30.4</v>
      </c>
      <c r="E16" s="5">
        <f>37+45/60</f>
        <v>37.75</v>
      </c>
      <c r="F16" s="5">
        <f>42+47/60</f>
        <v>42.783333333333331</v>
      </c>
      <c r="G16" s="5">
        <f>28+45/60</f>
        <v>28.75</v>
      </c>
      <c r="H16" s="5">
        <f>30+34/60</f>
        <v>30.566666666666666</v>
      </c>
      <c r="I16" s="5">
        <f>32+47/60</f>
        <v>32.783333333333331</v>
      </c>
      <c r="J16" s="5">
        <f>15+17/60</f>
        <v>15.283333333333333</v>
      </c>
      <c r="K16" s="5">
        <f>28+42/60</f>
        <v>28.7</v>
      </c>
      <c r="L16" s="5">
        <f>31+56/60</f>
        <v>31.933333333333334</v>
      </c>
      <c r="M16" s="5">
        <f>21+18/60</f>
        <v>21.3</v>
      </c>
      <c r="N16" s="5">
        <f>22+53/60</f>
        <v>22.883333333333333</v>
      </c>
      <c r="O16" s="5">
        <f>0+34/60</f>
        <v>0.56666666666666665</v>
      </c>
      <c r="P16" s="6">
        <v>0</v>
      </c>
      <c r="Q16" s="5" cm="1">
        <f t="array" ref="Q16:AE16">TRANSPOSE(P17:P31)</f>
        <v>39.18333333333333</v>
      </c>
      <c r="R16" s="5">
        <v>29.633333333333333</v>
      </c>
      <c r="S16" s="5">
        <v>26.533333333333335</v>
      </c>
      <c r="T16" s="5">
        <v>41.266666666666666</v>
      </c>
      <c r="U16" s="5">
        <v>38.983333333333334</v>
      </c>
      <c r="V16" s="5">
        <v>39.549999999999997</v>
      </c>
      <c r="W16" s="5">
        <v>35.383333333333333</v>
      </c>
      <c r="X16" s="5">
        <v>2.6166666666666667</v>
      </c>
      <c r="Y16" s="5">
        <v>16.8</v>
      </c>
      <c r="Z16" s="5">
        <v>7.75</v>
      </c>
      <c r="AA16" s="5">
        <v>26.533333333333335</v>
      </c>
      <c r="AB16" s="5">
        <v>35.133333333333333</v>
      </c>
      <c r="AC16" s="5">
        <v>19.833333333333332</v>
      </c>
      <c r="AD16" s="5">
        <v>37</v>
      </c>
      <c r="AE16" s="5">
        <v>38.81666666666667</v>
      </c>
      <c r="AF16" s="2"/>
    </row>
    <row r="17" spans="1:32" ht="36" customHeight="1" x14ac:dyDescent="0.2">
      <c r="A17" s="13" t="s">
        <v>15</v>
      </c>
      <c r="B17" s="7">
        <f>33+3/60</f>
        <v>33.049999999999997</v>
      </c>
      <c r="C17" s="5">
        <f>36+13/60</f>
        <v>36.216666666666669</v>
      </c>
      <c r="D17" s="5">
        <f>9+29/60</f>
        <v>9.4833333333333325</v>
      </c>
      <c r="E17" s="5">
        <f>15+42/60</f>
        <v>15.7</v>
      </c>
      <c r="F17" s="5">
        <f>21+51/60</f>
        <v>21.85</v>
      </c>
      <c r="G17" s="5">
        <f>20+1/60</f>
        <v>20.016666666666666</v>
      </c>
      <c r="H17" s="5">
        <f>16+0/60</f>
        <v>16</v>
      </c>
      <c r="I17" s="5">
        <f>17+53/60</f>
        <v>17.883333333333333</v>
      </c>
      <c r="J17" s="5">
        <f>29+21/60</f>
        <v>29.35</v>
      </c>
      <c r="K17" s="5">
        <f>19+53/60</f>
        <v>19.883333333333333</v>
      </c>
      <c r="L17" s="5">
        <f>19+49/60</f>
        <v>19.816666666666666</v>
      </c>
      <c r="M17" s="5">
        <f>16+54/60</f>
        <v>16.899999999999999</v>
      </c>
      <c r="N17" s="5">
        <f>21+0/60</f>
        <v>21</v>
      </c>
      <c r="O17" s="5">
        <f>37+31/60</f>
        <v>37.516666666666666</v>
      </c>
      <c r="P17" s="5">
        <f>39+11/60</f>
        <v>39.18333333333333</v>
      </c>
      <c r="Q17" s="6">
        <v>0</v>
      </c>
      <c r="R17" s="5" cm="1">
        <f t="array" ref="R17:AE17">TRANSPOSE(Q18:Q31)</f>
        <v>21.766666666666666</v>
      </c>
      <c r="S17" s="5">
        <v>25.5</v>
      </c>
      <c r="T17" s="5">
        <v>19.383333333333333</v>
      </c>
      <c r="U17" s="5">
        <v>18.399999999999999</v>
      </c>
      <c r="V17" s="5">
        <v>17.383333333333333</v>
      </c>
      <c r="W17" s="5">
        <v>17.100000000000001</v>
      </c>
      <c r="X17" s="5">
        <v>37.016666666666666</v>
      </c>
      <c r="Y17" s="5">
        <v>46.9</v>
      </c>
      <c r="Z17" s="5">
        <v>43.633333333333333</v>
      </c>
      <c r="AA17" s="5">
        <v>17.666666666666668</v>
      </c>
      <c r="AB17" s="5">
        <v>4.5166666666666666</v>
      </c>
      <c r="AC17" s="5">
        <v>19.083333333333332</v>
      </c>
      <c r="AD17" s="5">
        <v>22.166666666666668</v>
      </c>
      <c r="AE17" s="5">
        <v>14.95</v>
      </c>
      <c r="AF17" s="2"/>
    </row>
    <row r="18" spans="1:32" ht="36" customHeight="1" x14ac:dyDescent="0.2">
      <c r="A18" s="13" t="s">
        <v>16</v>
      </c>
      <c r="B18" s="7">
        <f>25+29/60</f>
        <v>25.483333333333334</v>
      </c>
      <c r="C18" s="5">
        <f>24+49/60</f>
        <v>24.816666666666666</v>
      </c>
      <c r="D18" s="5">
        <f>11+35/60</f>
        <v>11.583333333333334</v>
      </c>
      <c r="E18" s="5">
        <f>11+49/60</f>
        <v>11.816666666666666</v>
      </c>
      <c r="F18" s="5">
        <f>16+49/60</f>
        <v>16.816666666666666</v>
      </c>
      <c r="G18" s="5">
        <f>1+40/60</f>
        <v>1.6666666666666665</v>
      </c>
      <c r="H18" s="5">
        <f>5+45/60</f>
        <v>5.75</v>
      </c>
      <c r="I18" s="5">
        <f>6+35/60</f>
        <v>6.583333333333333</v>
      </c>
      <c r="J18" s="5">
        <f>14+26/60</f>
        <v>14.433333333333334</v>
      </c>
      <c r="K18" s="5">
        <f>1+30/60</f>
        <v>1.5</v>
      </c>
      <c r="L18" s="5">
        <f>5+31/60</f>
        <v>5.5166666666666666</v>
      </c>
      <c r="M18" s="5">
        <f>16+52/60</f>
        <v>16.866666666666667</v>
      </c>
      <c r="N18" s="5">
        <f>7+55/60</f>
        <v>7.916666666666667</v>
      </c>
      <c r="O18" s="5">
        <f>28+1/60</f>
        <v>28.016666666666666</v>
      </c>
      <c r="P18" s="5">
        <f>29+38/60</f>
        <v>29.633333333333333</v>
      </c>
      <c r="Q18" s="5">
        <f>21+46/60</f>
        <v>21.766666666666666</v>
      </c>
      <c r="R18" s="6">
        <v>0</v>
      </c>
      <c r="S18" s="5" cm="1">
        <f t="array" ref="S18:AE18">TRANSPOSE(R19:R31)</f>
        <v>4.9333333333333336</v>
      </c>
      <c r="T18" s="5">
        <v>13.866666666666667</v>
      </c>
      <c r="U18" s="5">
        <v>13.85</v>
      </c>
      <c r="V18" s="5">
        <v>13.133333333333333</v>
      </c>
      <c r="W18" s="5">
        <v>8.4333333333333336</v>
      </c>
      <c r="X18" s="5">
        <v>29.566666666666666</v>
      </c>
      <c r="Y18" s="5">
        <v>27.6</v>
      </c>
      <c r="Z18" s="5">
        <v>29.966666666666665</v>
      </c>
      <c r="AA18" s="5">
        <v>5.2666666666666666</v>
      </c>
      <c r="AB18" s="5">
        <v>18.666666666666668</v>
      </c>
      <c r="AC18" s="5">
        <v>14.666666666666666</v>
      </c>
      <c r="AD18" s="5">
        <v>9.25</v>
      </c>
      <c r="AE18" s="5">
        <v>12.933333333333334</v>
      </c>
      <c r="AF18" s="2"/>
    </row>
    <row r="19" spans="1:32" ht="36" customHeight="1" x14ac:dyDescent="0.2">
      <c r="A19" s="13" t="s">
        <v>17</v>
      </c>
      <c r="B19" s="7">
        <f>23+58/60</f>
        <v>23.966666666666665</v>
      </c>
      <c r="C19" s="5">
        <f>22+59/60</f>
        <v>22.983333333333334</v>
      </c>
      <c r="D19" s="5">
        <f>16+0/60</f>
        <v>16</v>
      </c>
      <c r="E19" s="5">
        <f>16+22/60</f>
        <v>16.366666666666667</v>
      </c>
      <c r="F19" s="5">
        <f>21+18/60</f>
        <v>21.3</v>
      </c>
      <c r="G19" s="5">
        <f>6+1/60</f>
        <v>6.0166666666666666</v>
      </c>
      <c r="H19" s="5">
        <f>10+10/60</f>
        <v>10.166666666666666</v>
      </c>
      <c r="I19" s="5">
        <f>11+0/60</f>
        <v>11</v>
      </c>
      <c r="J19" s="5">
        <f>12+43/60</f>
        <v>12.716666666666667</v>
      </c>
      <c r="K19" s="5">
        <f>6+1/60</f>
        <v>6.0166666666666666</v>
      </c>
      <c r="L19" s="5">
        <f>9+55/60</f>
        <v>9.9166666666666661</v>
      </c>
      <c r="M19" s="5">
        <f>17+9/60</f>
        <v>17.149999999999999</v>
      </c>
      <c r="N19" s="5">
        <f>6+22/60</f>
        <v>6.3666666666666663</v>
      </c>
      <c r="O19" s="5">
        <f>26+25/60</f>
        <v>26.416666666666668</v>
      </c>
      <c r="P19" s="5">
        <f>26+32/60</f>
        <v>26.533333333333335</v>
      </c>
      <c r="Q19" s="5">
        <f>25+30/60</f>
        <v>25.5</v>
      </c>
      <c r="R19" s="5">
        <f>4+56/60</f>
        <v>4.9333333333333336</v>
      </c>
      <c r="S19" s="6">
        <v>0</v>
      </c>
      <c r="T19" s="5" cm="1">
        <f t="array" ref="T19:AE19">TRANSPOSE(S20:S31)</f>
        <v>17.883333333333333</v>
      </c>
      <c r="U19" s="5">
        <v>17.683333333333334</v>
      </c>
      <c r="V19" s="5">
        <v>17.149999999999999</v>
      </c>
      <c r="W19" s="5">
        <v>12.85</v>
      </c>
      <c r="X19" s="5">
        <v>28.416666666666668</v>
      </c>
      <c r="Y19" s="5">
        <v>23.233333333333334</v>
      </c>
      <c r="Z19" s="5">
        <v>28.65</v>
      </c>
      <c r="AA19" s="5">
        <v>8.6166666666666671</v>
      </c>
      <c r="AB19" s="5">
        <v>22.05</v>
      </c>
      <c r="AC19" s="5">
        <v>13.7</v>
      </c>
      <c r="AD19" s="5">
        <v>14.05</v>
      </c>
      <c r="AE19" s="5">
        <v>16.399999999999999</v>
      </c>
      <c r="AF19" s="2"/>
    </row>
    <row r="20" spans="1:32" ht="36" customHeight="1" x14ac:dyDescent="0.2">
      <c r="A20" s="13" t="s">
        <v>18</v>
      </c>
      <c r="B20" s="7">
        <f>34+48/60</f>
        <v>34.799999999999997</v>
      </c>
      <c r="C20" s="5">
        <f>36+11/60</f>
        <v>36.18333333333333</v>
      </c>
      <c r="D20" s="5">
        <f>13+27/60</f>
        <v>13.45</v>
      </c>
      <c r="E20" s="5">
        <f>3+10/60</f>
        <v>3.1666666666666665</v>
      </c>
      <c r="F20" s="5">
        <f>3+17/60</f>
        <v>3.2833333333333332</v>
      </c>
      <c r="G20" s="5">
        <f>12+59/60</f>
        <v>12.983333333333333</v>
      </c>
      <c r="H20" s="5">
        <f>10+8/60</f>
        <v>10.133333333333333</v>
      </c>
      <c r="I20" s="5">
        <f>7+11/60</f>
        <v>7.1833333333333336</v>
      </c>
      <c r="J20" s="5">
        <f>25+58/60</f>
        <v>25.966666666666665</v>
      </c>
      <c r="K20" s="5">
        <f>12+4/60</f>
        <v>12.066666666666666</v>
      </c>
      <c r="L20" s="5">
        <f>9+27/60</f>
        <v>9.4499999999999993</v>
      </c>
      <c r="M20" s="5">
        <f>23+49/60</f>
        <v>23.816666666666666</v>
      </c>
      <c r="N20" s="5">
        <f>17+54/60</f>
        <v>17.899999999999999</v>
      </c>
      <c r="O20" s="5">
        <f>39+2/60</f>
        <v>39.033333333333331</v>
      </c>
      <c r="P20" s="5">
        <f>41+16/60</f>
        <v>41.266666666666666</v>
      </c>
      <c r="Q20" s="5">
        <f>19+23/60</f>
        <v>19.383333333333333</v>
      </c>
      <c r="R20" s="5">
        <f>13+52/60</f>
        <v>13.866666666666667</v>
      </c>
      <c r="S20" s="5">
        <f>17+53/60</f>
        <v>17.883333333333333</v>
      </c>
      <c r="T20" s="6">
        <v>0</v>
      </c>
      <c r="U20" s="5" cm="1">
        <f t="array" ref="U20:AE20">TRANSPOSE(T21:T31)</f>
        <v>0.68333333333333335</v>
      </c>
      <c r="V20" s="5">
        <v>1.9833333333333334</v>
      </c>
      <c r="W20" s="5">
        <v>6.1333333333333337</v>
      </c>
      <c r="X20" s="5">
        <v>40.299999999999997</v>
      </c>
      <c r="Y20" s="5">
        <v>41.7</v>
      </c>
      <c r="Z20" s="5">
        <v>42.166666666666664</v>
      </c>
      <c r="AA20" s="5">
        <v>14.5</v>
      </c>
      <c r="AB20" s="5">
        <v>18.05</v>
      </c>
      <c r="AC20" s="5">
        <v>23.55</v>
      </c>
      <c r="AD20" s="5">
        <v>8.0833333333333339</v>
      </c>
      <c r="AE20" s="5">
        <v>3.9666666666666668</v>
      </c>
      <c r="AF20" s="2"/>
    </row>
    <row r="21" spans="1:32" ht="36" customHeight="1" x14ac:dyDescent="0.2">
      <c r="A21" s="13" t="s">
        <v>19</v>
      </c>
      <c r="B21" s="7">
        <f>34+39/60</f>
        <v>34.65</v>
      </c>
      <c r="C21" s="5">
        <f>35+55/60</f>
        <v>35.916666666666664</v>
      </c>
      <c r="D21" s="5">
        <f>13+11/60</f>
        <v>13.183333333333334</v>
      </c>
      <c r="E21" s="5">
        <f>3+1/60</f>
        <v>3.0166666666666666</v>
      </c>
      <c r="F21" s="5">
        <f>3+14/60</f>
        <v>3.2333333333333334</v>
      </c>
      <c r="G21" s="5">
        <f>12+3/60</f>
        <v>12.05</v>
      </c>
      <c r="H21" s="5">
        <f>9+41/60</f>
        <v>9.6833333333333336</v>
      </c>
      <c r="I21" s="5">
        <f>7+0/60</f>
        <v>7</v>
      </c>
      <c r="J21" s="5">
        <f>25+51/60</f>
        <v>25.85</v>
      </c>
      <c r="K21" s="5">
        <f>11+48/60</f>
        <v>11.8</v>
      </c>
      <c r="L21" s="5">
        <f>9+13/60</f>
        <v>9.2166666666666668</v>
      </c>
      <c r="M21" s="5">
        <f>23+39/60</f>
        <v>23.65</v>
      </c>
      <c r="N21" s="5">
        <f>17+43/60</f>
        <v>17.716666666666665</v>
      </c>
      <c r="O21" s="5">
        <f>38+51/60</f>
        <v>38.85</v>
      </c>
      <c r="P21" s="5">
        <f>38+59/60</f>
        <v>38.983333333333334</v>
      </c>
      <c r="Q21" s="5">
        <f>18+24/60</f>
        <v>18.399999999999999</v>
      </c>
      <c r="R21" s="5">
        <f>13+51/60</f>
        <v>13.85</v>
      </c>
      <c r="S21" s="5">
        <f>17+41/60</f>
        <v>17.683333333333334</v>
      </c>
      <c r="T21" s="5">
        <f>0+41/60</f>
        <v>0.68333333333333335</v>
      </c>
      <c r="U21" s="6">
        <v>0</v>
      </c>
      <c r="V21" s="5" cm="1">
        <f t="array" ref="V21:AE21">TRANSPOSE(U22:U31)</f>
        <v>2.5333333333333332</v>
      </c>
      <c r="W21" s="5">
        <v>6.4333333333333336</v>
      </c>
      <c r="X21" s="5">
        <v>40.424999999999997</v>
      </c>
      <c r="Y21" s="5">
        <v>40.916666666666664</v>
      </c>
      <c r="Z21" s="5">
        <v>41.616666666666667</v>
      </c>
      <c r="AA21" s="5">
        <v>15</v>
      </c>
      <c r="AB21" s="5">
        <v>17.75</v>
      </c>
      <c r="AC21" s="5">
        <v>22.966666666666665</v>
      </c>
      <c r="AD21" s="5">
        <v>8.2666666666666675</v>
      </c>
      <c r="AE21" s="5">
        <v>4.75</v>
      </c>
      <c r="AF21" s="2"/>
    </row>
    <row r="22" spans="1:32" ht="36" customHeight="1" x14ac:dyDescent="0.2">
      <c r="A22" s="13" t="s">
        <v>20</v>
      </c>
      <c r="B22" s="7">
        <f>33+26/60</f>
        <v>33.43333333333333</v>
      </c>
      <c r="C22" s="5">
        <f>34+54/60</f>
        <v>34.9</v>
      </c>
      <c r="D22" s="5">
        <f>11+25/60</f>
        <v>11.416666666666666</v>
      </c>
      <c r="E22" s="5">
        <f>1+33/60</f>
        <v>1.55</v>
      </c>
      <c r="F22" s="5">
        <f>4+56/60</f>
        <v>4.9333333333333336</v>
      </c>
      <c r="G22" s="5">
        <f>11+57/60</f>
        <v>11.95</v>
      </c>
      <c r="H22" s="5">
        <f>8+47/60</f>
        <v>8.7833333333333332</v>
      </c>
      <c r="I22" s="5">
        <f>6+31/60</f>
        <v>6.5166666666666666</v>
      </c>
      <c r="J22" s="5">
        <f>24+34/60</f>
        <v>24.566666666666666</v>
      </c>
      <c r="K22" s="5">
        <f>11+27/60</f>
        <v>11.45</v>
      </c>
      <c r="L22" s="5">
        <f>8+42/60</f>
        <v>8.6999999999999993</v>
      </c>
      <c r="M22" s="5">
        <f>22+8/60</f>
        <v>22.133333333333333</v>
      </c>
      <c r="N22" s="5">
        <f>16+32/60</f>
        <v>16.533333333333335</v>
      </c>
      <c r="O22" s="5">
        <f>37+41/60</f>
        <v>37.68333333333333</v>
      </c>
      <c r="P22" s="5">
        <f>39+33/60</f>
        <v>39.549999999999997</v>
      </c>
      <c r="Q22" s="5">
        <f>17+23/60</f>
        <v>17.383333333333333</v>
      </c>
      <c r="R22" s="5">
        <f>13+8/60</f>
        <v>13.133333333333333</v>
      </c>
      <c r="S22" s="5">
        <f>17+9/60</f>
        <v>17.149999999999999</v>
      </c>
      <c r="T22" s="5">
        <f>1+59/60</f>
        <v>1.9833333333333334</v>
      </c>
      <c r="U22" s="5">
        <f>2+32/60</f>
        <v>2.5333333333333332</v>
      </c>
      <c r="V22" s="6">
        <v>0</v>
      </c>
      <c r="W22" s="5" cm="1">
        <f t="array" ref="W22:AE22">TRANSPOSE(V23:V31)</f>
        <v>4.833333333333333</v>
      </c>
      <c r="X22" s="5">
        <v>39.083333333333336</v>
      </c>
      <c r="Y22" s="5">
        <v>39.833333333333336</v>
      </c>
      <c r="Z22" s="5">
        <v>41.5</v>
      </c>
      <c r="AA22" s="5">
        <v>13.3</v>
      </c>
      <c r="AB22" s="5">
        <v>16.149999999999999</v>
      </c>
      <c r="AC22" s="5">
        <v>21.75</v>
      </c>
      <c r="AD22" s="5">
        <v>8.35</v>
      </c>
      <c r="AE22" s="5">
        <v>2.4833333333333334</v>
      </c>
      <c r="AF22" s="2"/>
    </row>
    <row r="23" spans="1:32" ht="36" customHeight="1" x14ac:dyDescent="0.2">
      <c r="A23" s="13" t="s">
        <v>21</v>
      </c>
      <c r="B23" s="7">
        <f>24+5+3/60</f>
        <v>29.05</v>
      </c>
      <c r="C23" s="5">
        <f>30+38/60</f>
        <v>30.633333333333333</v>
      </c>
      <c r="D23" s="5">
        <f>10+22/60</f>
        <v>10.366666666666667</v>
      </c>
      <c r="E23" s="5">
        <f>3+48/60</f>
        <v>3.8</v>
      </c>
      <c r="F23" s="5">
        <f>8+48/60</f>
        <v>8.8000000000000007</v>
      </c>
      <c r="G23" s="5">
        <f>7+20/60</f>
        <v>7.333333333333333</v>
      </c>
      <c r="H23" s="5">
        <f>4+20/60</f>
        <v>4.333333333333333</v>
      </c>
      <c r="I23" s="5">
        <f>2+3/60</f>
        <v>2.0499999999999998</v>
      </c>
      <c r="J23" s="5">
        <f>20+30/60</f>
        <v>20.5</v>
      </c>
      <c r="K23" s="5">
        <f>6+49/60</f>
        <v>6.8166666666666664</v>
      </c>
      <c r="L23" s="5">
        <f>4+12/60</f>
        <v>4.2</v>
      </c>
      <c r="M23" s="5">
        <f>19+18/60</f>
        <v>19.3</v>
      </c>
      <c r="N23" s="5">
        <f>12+8/60</f>
        <v>12.133333333333333</v>
      </c>
      <c r="O23" s="5">
        <f>33+31/60</f>
        <v>33.516666666666666</v>
      </c>
      <c r="P23" s="5">
        <f>35+23/60</f>
        <v>35.383333333333333</v>
      </c>
      <c r="Q23" s="5">
        <f>17+6/60</f>
        <v>17.100000000000001</v>
      </c>
      <c r="R23" s="5">
        <f>8+26/60</f>
        <v>8.4333333333333336</v>
      </c>
      <c r="S23" s="5">
        <f>12+51/60</f>
        <v>12.85</v>
      </c>
      <c r="T23" s="5">
        <f>6+8/60</f>
        <v>6.1333333333333337</v>
      </c>
      <c r="U23" s="5">
        <f>6+26/60</f>
        <v>6.4333333333333336</v>
      </c>
      <c r="V23" s="5">
        <f>4+50/60</f>
        <v>4.833333333333333</v>
      </c>
      <c r="W23" s="6">
        <v>0</v>
      </c>
      <c r="X23" s="5" cm="1">
        <f t="array" ref="X23:AE23">TRANSPOSE(W24:W31)</f>
        <v>34.533333333333331</v>
      </c>
      <c r="Y23" s="5">
        <v>35.366666666666667</v>
      </c>
      <c r="Z23" s="5">
        <v>36.56666666666667</v>
      </c>
      <c r="AA23" s="5">
        <v>8.8333333333333339</v>
      </c>
      <c r="AB23" s="5">
        <v>15.266666666666667</v>
      </c>
      <c r="AC23" s="5">
        <v>18</v>
      </c>
      <c r="AD23" s="5">
        <v>5.583333333333333</v>
      </c>
      <c r="AE23" s="5">
        <v>4</v>
      </c>
      <c r="AF23" s="2"/>
    </row>
    <row r="24" spans="1:32" ht="36" customHeight="1" x14ac:dyDescent="0.2">
      <c r="A24" s="13" t="s">
        <v>22</v>
      </c>
      <c r="B24" s="7">
        <f>5+22/60</f>
        <v>5.3666666666666663</v>
      </c>
      <c r="C24" s="5">
        <f>4+57/60</f>
        <v>4.95</v>
      </c>
      <c r="D24" s="5">
        <f>29+40/60</f>
        <v>29.666666666666668</v>
      </c>
      <c r="E24" s="5">
        <f>37+22/60</f>
        <v>37.366666666666667</v>
      </c>
      <c r="F24" s="5">
        <f>42+36/60</f>
        <v>42.6</v>
      </c>
      <c r="G24" s="5">
        <f>29+34/60</f>
        <v>29.566666666666666</v>
      </c>
      <c r="H24" s="5">
        <f>30+45/60</f>
        <v>30.75</v>
      </c>
      <c r="I24" s="5">
        <f>33+40/60</f>
        <v>33.666666666666664</v>
      </c>
      <c r="J24" s="5">
        <f>15+53/60</f>
        <v>15.883333333333333</v>
      </c>
      <c r="K24" s="5">
        <f>29+32/60</f>
        <v>29.533333333333335</v>
      </c>
      <c r="L24" s="5">
        <f>32+43/60</f>
        <v>32.716666666666669</v>
      </c>
      <c r="M24" s="5">
        <f>20+9/60</f>
        <v>20.149999999999999</v>
      </c>
      <c r="N24" s="5">
        <f>22+56/60</f>
        <v>22.933333333333334</v>
      </c>
      <c r="O24" s="5">
        <f>1+36/60</f>
        <v>1.6</v>
      </c>
      <c r="P24" s="5">
        <f>2+37/60</f>
        <v>2.6166666666666667</v>
      </c>
      <c r="Q24" s="5">
        <f>37+1/60</f>
        <v>37.016666666666666</v>
      </c>
      <c r="R24" s="5">
        <f>29+34/60</f>
        <v>29.566666666666666</v>
      </c>
      <c r="S24" s="5">
        <f>28+25/60</f>
        <v>28.416666666666668</v>
      </c>
      <c r="T24" s="5">
        <f>40+18/60</f>
        <v>40.299999999999997</v>
      </c>
      <c r="U24" s="5">
        <f>40+17/40</f>
        <v>40.424999999999997</v>
      </c>
      <c r="V24" s="5">
        <f>39+5/60</f>
        <v>39.083333333333336</v>
      </c>
      <c r="W24" s="5">
        <f>34+32/60</f>
        <v>34.533333333333331</v>
      </c>
      <c r="X24" s="6">
        <v>0</v>
      </c>
      <c r="Y24" s="5" cm="1">
        <f t="array" ref="Y24:AE24">TRANSPOSE(X25:X31)</f>
        <v>19.616666666666667</v>
      </c>
      <c r="Z24" s="5">
        <v>7.7666666666666666</v>
      </c>
      <c r="AA24" s="5">
        <v>25.333333333333332</v>
      </c>
      <c r="AB24" s="5">
        <v>33.43333333333333</v>
      </c>
      <c r="AC24" s="5">
        <v>18.383333333333333</v>
      </c>
      <c r="AD24" s="5">
        <v>38</v>
      </c>
      <c r="AE24" s="5">
        <v>27.683333333333334</v>
      </c>
      <c r="AF24" s="2"/>
    </row>
    <row r="25" spans="1:32" ht="36" customHeight="1" x14ac:dyDescent="0.2">
      <c r="A25" s="13" t="s">
        <v>24</v>
      </c>
      <c r="B25" s="7">
        <f>20+49/60</f>
        <v>20.816666666666666</v>
      </c>
      <c r="C25" s="5">
        <f>16+29/60</f>
        <v>16.483333333333334</v>
      </c>
      <c r="D25" s="5">
        <f>27+0/60</f>
        <v>27</v>
      </c>
      <c r="E25" s="5">
        <f>39+5/60</f>
        <v>39.083333333333336</v>
      </c>
      <c r="F25" s="5">
        <f>43+54/60</f>
        <v>43.9</v>
      </c>
      <c r="G25" s="5">
        <f>28+51/60</f>
        <v>28.85</v>
      </c>
      <c r="H25" s="5">
        <f>33+3/60</f>
        <v>33.049999999999997</v>
      </c>
      <c r="I25" s="5">
        <f>33+52/60</f>
        <v>33.866666666666667</v>
      </c>
      <c r="J25" s="5">
        <f>18+48/60</f>
        <v>18.8</v>
      </c>
      <c r="K25" s="5">
        <f>28+54/60</f>
        <v>28.9</v>
      </c>
      <c r="L25" s="5">
        <f>32+47/60</f>
        <v>32.783333333333331</v>
      </c>
      <c r="M25" s="5">
        <f>33+18/60</f>
        <v>33.299999999999997</v>
      </c>
      <c r="N25" s="5">
        <f>26+1/60</f>
        <v>26.016666666666666</v>
      </c>
      <c r="O25" s="5">
        <f>18+14/60</f>
        <v>18.233333333333334</v>
      </c>
      <c r="P25" s="5">
        <f>16+48/60</f>
        <v>16.8</v>
      </c>
      <c r="Q25" s="5">
        <f>46+54/60</f>
        <v>46.9</v>
      </c>
      <c r="R25" s="5">
        <f>27+36/60</f>
        <v>27.6</v>
      </c>
      <c r="S25" s="5">
        <f>23+14/60</f>
        <v>23.233333333333334</v>
      </c>
      <c r="T25" s="5">
        <f>41+42/60</f>
        <v>41.7</v>
      </c>
      <c r="U25" s="5">
        <f>40+55/60</f>
        <v>40.916666666666664</v>
      </c>
      <c r="V25" s="5">
        <f>39+50/60</f>
        <v>39.833333333333336</v>
      </c>
      <c r="W25" s="5">
        <f>35+22/60</f>
        <v>35.366666666666667</v>
      </c>
      <c r="X25" s="5">
        <f>19+37/60</f>
        <v>19.616666666666667</v>
      </c>
      <c r="Y25" s="6">
        <v>0</v>
      </c>
      <c r="Z25" s="5" cm="1">
        <f t="array" ref="Z25:AE25">TRANSPOSE(Y26:Y31)</f>
        <v>14.833333333333334</v>
      </c>
      <c r="AA25" s="5">
        <v>29.716666666666665</v>
      </c>
      <c r="AB25" s="5">
        <v>43.583333333333336</v>
      </c>
      <c r="AC25" s="5">
        <v>29.483333333333334</v>
      </c>
      <c r="AD25" s="5">
        <v>38</v>
      </c>
      <c r="AE25" s="5">
        <v>39.65</v>
      </c>
      <c r="AF25" s="2"/>
    </row>
    <row r="26" spans="1:32" ht="36" customHeight="1" x14ac:dyDescent="0.2">
      <c r="A26" s="13" t="s">
        <v>23</v>
      </c>
      <c r="B26" s="7">
        <f>11+46/60</f>
        <v>11.766666666666667</v>
      </c>
      <c r="C26" s="5">
        <f>8+44/60</f>
        <v>8.7333333333333325</v>
      </c>
      <c r="D26" s="5">
        <f>34+55/60</f>
        <v>34.916666666666664</v>
      </c>
      <c r="E26" s="5">
        <f>40+38/60</f>
        <v>40.633333333333333</v>
      </c>
      <c r="F26" s="5">
        <f>44+25/60</f>
        <v>44.416666666666664</v>
      </c>
      <c r="G26" s="5">
        <f>30+4/60</f>
        <v>30.066666666666666</v>
      </c>
      <c r="H26" s="5">
        <f>26+13/60</f>
        <v>26.216666666666665</v>
      </c>
      <c r="I26" s="5">
        <f>34+40/60</f>
        <v>34.666666666666664</v>
      </c>
      <c r="J26" s="5">
        <f>12+52/60</f>
        <v>12.866666666666667</v>
      </c>
      <c r="K26" s="5">
        <f>29+43/60</f>
        <v>29.716666666666665</v>
      </c>
      <c r="L26" s="5">
        <f>33+17/60</f>
        <v>33.283333333333331</v>
      </c>
      <c r="M26" s="5">
        <f>26+39/60</f>
        <v>26.65</v>
      </c>
      <c r="N26" s="5">
        <f>25+21/60</f>
        <v>25.35</v>
      </c>
      <c r="O26" s="5">
        <f>6+57/60</f>
        <v>6.95</v>
      </c>
      <c r="P26" s="5">
        <f>7+45/60</f>
        <v>7.75</v>
      </c>
      <c r="Q26" s="5">
        <f>43+38/60</f>
        <v>43.633333333333333</v>
      </c>
      <c r="R26" s="5">
        <f>29+58/60</f>
        <v>29.966666666666665</v>
      </c>
      <c r="S26" s="5">
        <f>28+39/60</f>
        <v>28.65</v>
      </c>
      <c r="T26" s="5">
        <f>42+10/60</f>
        <v>42.166666666666664</v>
      </c>
      <c r="U26" s="5">
        <f>41+37/60</f>
        <v>41.616666666666667</v>
      </c>
      <c r="V26" s="5">
        <f>41+30/60</f>
        <v>41.5</v>
      </c>
      <c r="W26" s="5">
        <f>36+34/60</f>
        <v>36.56666666666667</v>
      </c>
      <c r="X26" s="5">
        <f>7+46/60</f>
        <v>7.7666666666666666</v>
      </c>
      <c r="Y26" s="5">
        <f>14+50/60</f>
        <v>14.833333333333334</v>
      </c>
      <c r="Z26" s="6">
        <v>0</v>
      </c>
      <c r="AA26" s="5" cm="1">
        <f t="array" ref="AA26:AE26">TRANSPOSE(Z27:Z31)</f>
        <v>29.1</v>
      </c>
      <c r="AB26" s="5">
        <v>39.983333333333334</v>
      </c>
      <c r="AC26" s="5">
        <v>24.5</v>
      </c>
      <c r="AD26" s="5">
        <v>38</v>
      </c>
      <c r="AE26" s="5">
        <v>40.533333333333331</v>
      </c>
      <c r="AF26" s="2"/>
    </row>
    <row r="27" spans="1:32" ht="36" customHeight="1" x14ac:dyDescent="0.2">
      <c r="A27" s="13" t="s">
        <v>25</v>
      </c>
      <c r="B27" s="7">
        <f>20+27/60</f>
        <v>20.45</v>
      </c>
      <c r="C27" s="5">
        <f>22+8/60</f>
        <v>22.133333333333333</v>
      </c>
      <c r="D27" s="5">
        <f>8+0/60</f>
        <v>8</v>
      </c>
      <c r="E27" s="5">
        <f>12+0/60</f>
        <v>12</v>
      </c>
      <c r="F27" s="5">
        <f>17+9/60</f>
        <v>17.149999999999999</v>
      </c>
      <c r="G27" s="5">
        <f>4+37/60</f>
        <v>4.6166666666666671</v>
      </c>
      <c r="H27" s="5">
        <f>5+6/60</f>
        <v>5.0999999999999996</v>
      </c>
      <c r="I27" s="5">
        <f>7+55/60</f>
        <v>7.916666666666667</v>
      </c>
      <c r="J27" s="5">
        <f>11+52/60</f>
        <v>11.866666666666667</v>
      </c>
      <c r="K27" s="5">
        <f>4+19/60</f>
        <v>4.3166666666666664</v>
      </c>
      <c r="L27" s="5">
        <f>7+35/60</f>
        <v>7.583333333333333</v>
      </c>
      <c r="M27" s="5">
        <f>11+42/60</f>
        <v>11.7</v>
      </c>
      <c r="N27" s="5">
        <f>3+42/60</f>
        <v>3.7</v>
      </c>
      <c r="O27" s="5">
        <f>25+3/60</f>
        <v>25.05</v>
      </c>
      <c r="P27" s="5">
        <f>26+32/60</f>
        <v>26.533333333333335</v>
      </c>
      <c r="Q27" s="5">
        <f>17+40/60</f>
        <v>17.666666666666668</v>
      </c>
      <c r="R27" s="5">
        <f>5+16/60</f>
        <v>5.2666666666666666</v>
      </c>
      <c r="S27" s="5">
        <f>8+37/60</f>
        <v>8.6166666666666671</v>
      </c>
      <c r="T27" s="5">
        <f>14+30/60</f>
        <v>14.5</v>
      </c>
      <c r="U27" s="5">
        <f>15+0/60</f>
        <v>15</v>
      </c>
      <c r="V27" s="5">
        <f>13+18/60</f>
        <v>13.3</v>
      </c>
      <c r="W27" s="5">
        <f>8+50/60</f>
        <v>8.8333333333333339</v>
      </c>
      <c r="X27" s="5">
        <f>25+20/60</f>
        <v>25.333333333333332</v>
      </c>
      <c r="Y27" s="5">
        <f>29+43/60</f>
        <v>29.716666666666665</v>
      </c>
      <c r="Z27" s="5">
        <f>29+6/60</f>
        <v>29.1</v>
      </c>
      <c r="AA27" s="6">
        <v>0</v>
      </c>
      <c r="AB27" s="5" cm="1">
        <f t="array" ref="AB27:AE27">TRANSPOSE(AA28:AA31)</f>
        <v>14.716666666666667</v>
      </c>
      <c r="AC27" s="5">
        <v>9.5500000000000007</v>
      </c>
      <c r="AD27" s="5">
        <v>11.5</v>
      </c>
      <c r="AE27" s="5">
        <v>13.15</v>
      </c>
      <c r="AF27" s="2"/>
    </row>
    <row r="28" spans="1:32" ht="36" customHeight="1" x14ac:dyDescent="0.2">
      <c r="A28" s="13" t="s">
        <v>26</v>
      </c>
      <c r="B28" s="7">
        <f>29+50/60</f>
        <v>29.833333333333332</v>
      </c>
      <c r="C28" s="5">
        <f>33+16/60</f>
        <v>33.266666666666666</v>
      </c>
      <c r="D28" s="5">
        <f>6+37/60</f>
        <v>6.6166666666666671</v>
      </c>
      <c r="E28" s="5">
        <f>13+36/60</f>
        <v>13.6</v>
      </c>
      <c r="F28" s="5">
        <f>20+6/60</f>
        <v>20.100000000000001</v>
      </c>
      <c r="G28" s="5">
        <f>17+18/60</f>
        <v>17.3</v>
      </c>
      <c r="H28" s="5">
        <f>12+54/60</f>
        <v>12.9</v>
      </c>
      <c r="I28" s="5">
        <f>16+8/60</f>
        <v>16.133333333333333</v>
      </c>
      <c r="J28" s="5">
        <f>26+16/60</f>
        <v>26.266666666666666</v>
      </c>
      <c r="K28" s="5">
        <f>17+2/60</f>
        <v>17.033333333333335</v>
      </c>
      <c r="L28" s="5">
        <f>16+58/60</f>
        <v>16.966666666666665</v>
      </c>
      <c r="M28" s="5">
        <f>14+3/60</f>
        <v>14.05</v>
      </c>
      <c r="N28" s="5">
        <f>18+8/60</f>
        <v>18.133333333333333</v>
      </c>
      <c r="O28" s="5">
        <f>34+45/60</f>
        <v>34.75</v>
      </c>
      <c r="P28" s="5">
        <f>35+8/60</f>
        <v>35.133333333333333</v>
      </c>
      <c r="Q28" s="5">
        <f>4+31/60</f>
        <v>4.5166666666666666</v>
      </c>
      <c r="R28" s="5">
        <f>18+40/60</f>
        <v>18.666666666666668</v>
      </c>
      <c r="S28" s="5">
        <f>22+3/60</f>
        <v>22.05</v>
      </c>
      <c r="T28" s="5">
        <f>18+3/60</f>
        <v>18.05</v>
      </c>
      <c r="U28" s="5">
        <f>17+45/60</f>
        <v>17.75</v>
      </c>
      <c r="V28" s="5">
        <f>16+9/60</f>
        <v>16.149999999999999</v>
      </c>
      <c r="W28" s="5">
        <f>15+16/60</f>
        <v>15.266666666666667</v>
      </c>
      <c r="X28" s="5">
        <f>33+26/60</f>
        <v>33.43333333333333</v>
      </c>
      <c r="Y28" s="5">
        <f>43+35/60</f>
        <v>43.583333333333336</v>
      </c>
      <c r="Z28" s="5">
        <f>39+59/60</f>
        <v>39.983333333333334</v>
      </c>
      <c r="AA28" s="5">
        <f>14+43/60</f>
        <v>14.716666666666667</v>
      </c>
      <c r="AB28" s="6">
        <v>0</v>
      </c>
      <c r="AC28" s="5" cm="1">
        <f t="array" ref="AC28:AE28">TRANSPOSE(AB29:AB31)</f>
        <v>16.033333333333335</v>
      </c>
      <c r="AD28" s="5">
        <v>20.433333333333334</v>
      </c>
      <c r="AE28" s="5">
        <v>12.983333333333333</v>
      </c>
      <c r="AF28" s="2"/>
    </row>
    <row r="29" spans="1:32" ht="36" customHeight="1" x14ac:dyDescent="0.2">
      <c r="A29" s="13" t="s">
        <v>27</v>
      </c>
      <c r="B29" s="7">
        <f>14+32/60</f>
        <v>14.533333333333333</v>
      </c>
      <c r="C29" s="5">
        <f>17+24/60</f>
        <v>17.399999999999999</v>
      </c>
      <c r="D29" s="5">
        <f>11+24/60</f>
        <v>11.4</v>
      </c>
      <c r="E29" s="5">
        <f>19+29/60</f>
        <v>19.483333333333334</v>
      </c>
      <c r="F29" s="5">
        <f>25+42/60</f>
        <v>25.7</v>
      </c>
      <c r="G29" s="5">
        <f>14+15/60</f>
        <v>14.25</v>
      </c>
      <c r="H29" s="5">
        <f>13+30/60</f>
        <v>13.5</v>
      </c>
      <c r="I29" s="5">
        <f>17+12/60</f>
        <v>17.2</v>
      </c>
      <c r="J29" s="5">
        <f>11+30/60</f>
        <v>11.5</v>
      </c>
      <c r="K29" s="5">
        <f>14+1/60</f>
        <v>14.016666666666667</v>
      </c>
      <c r="L29" s="5">
        <f>17+14/60</f>
        <v>17.233333333333334</v>
      </c>
      <c r="M29" s="5">
        <f>3+45/60</f>
        <v>3.75</v>
      </c>
      <c r="N29" s="5">
        <f>8+0/60</f>
        <v>8</v>
      </c>
      <c r="O29" s="5">
        <f>19+32/60</f>
        <v>19.533333333333335</v>
      </c>
      <c r="P29" s="5">
        <f>19+50/60</f>
        <v>19.833333333333332</v>
      </c>
      <c r="Q29" s="5">
        <f>19+5/60</f>
        <v>19.083333333333332</v>
      </c>
      <c r="R29" s="5">
        <f>14+40/60</f>
        <v>14.666666666666666</v>
      </c>
      <c r="S29" s="5">
        <f>13+42/60</f>
        <v>13.7</v>
      </c>
      <c r="T29" s="5">
        <f>23+33/60</f>
        <v>23.55</v>
      </c>
      <c r="U29" s="5">
        <f>22+58/60</f>
        <v>22.966666666666665</v>
      </c>
      <c r="V29" s="5">
        <f>21+45/60</f>
        <v>21.75</v>
      </c>
      <c r="W29" s="5">
        <f>18+0/60</f>
        <v>18</v>
      </c>
      <c r="X29" s="5">
        <f>18+23/60</f>
        <v>18.383333333333333</v>
      </c>
      <c r="Y29" s="5">
        <f>29+29/60</f>
        <v>29.483333333333334</v>
      </c>
      <c r="Z29" s="5">
        <f>24+30/60</f>
        <v>24.5</v>
      </c>
      <c r="AA29" s="5">
        <f>9+33/60</f>
        <v>9.5500000000000007</v>
      </c>
      <c r="AB29" s="5">
        <f>16+2/60</f>
        <v>16.033333333333335</v>
      </c>
      <c r="AC29" s="6">
        <v>0</v>
      </c>
      <c r="AD29" s="5" cm="1">
        <f t="array" ref="AD29:AE29">TRANSPOSE(AC30:AC31)</f>
        <v>21.1</v>
      </c>
      <c r="AE29" s="5">
        <v>19.266666666666666</v>
      </c>
      <c r="AF29" s="2"/>
    </row>
    <row r="30" spans="1:32" ht="36" customHeight="1" x14ac:dyDescent="0.2">
      <c r="A30" s="13" t="s">
        <v>28</v>
      </c>
      <c r="B30" s="7">
        <f>33</f>
        <v>33</v>
      </c>
      <c r="C30" s="5">
        <v>33</v>
      </c>
      <c r="D30" s="5">
        <f>14+43/60</f>
        <v>14.716666666666667</v>
      </c>
      <c r="E30" s="5">
        <f>7+56/60</f>
        <v>7.9333333333333336</v>
      </c>
      <c r="F30" s="5">
        <f>8+35/60</f>
        <v>8.5833333333333339</v>
      </c>
      <c r="G30" s="5">
        <f>8+10/60</f>
        <v>8.1666666666666661</v>
      </c>
      <c r="H30" s="5">
        <f>7+39/60</f>
        <v>7.65</v>
      </c>
      <c r="I30" s="5">
        <f>4+35/60</f>
        <v>4.583333333333333</v>
      </c>
      <c r="J30" s="5">
        <f>22+18/60</f>
        <v>22.3</v>
      </c>
      <c r="K30" s="5">
        <f>7+54/60</f>
        <v>7.9</v>
      </c>
      <c r="L30" s="5">
        <f>3+46/60</f>
        <v>3.7666666666666666</v>
      </c>
      <c r="M30" s="5">
        <f>23+17/60</f>
        <v>23.283333333333335</v>
      </c>
      <c r="N30" s="5">
        <f>14+51/60</f>
        <v>14.85</v>
      </c>
      <c r="O30" s="5">
        <f>36+0/60</f>
        <v>36</v>
      </c>
      <c r="P30" s="5">
        <f>37+0/60</f>
        <v>37</v>
      </c>
      <c r="Q30" s="5">
        <f>22+10/60</f>
        <v>22.166666666666668</v>
      </c>
      <c r="R30" s="5">
        <f>9+15/60</f>
        <v>9.25</v>
      </c>
      <c r="S30" s="5">
        <f>14+3/60</f>
        <v>14.05</v>
      </c>
      <c r="T30" s="5">
        <f>8+5/60</f>
        <v>8.0833333333333339</v>
      </c>
      <c r="U30" s="5">
        <f>8+16/60</f>
        <v>8.2666666666666675</v>
      </c>
      <c r="V30" s="5">
        <f>8+21/60</f>
        <v>8.35</v>
      </c>
      <c r="W30" s="5">
        <f>5+35/60</f>
        <v>5.583333333333333</v>
      </c>
      <c r="X30" s="5">
        <f>38+0/60</f>
        <v>38</v>
      </c>
      <c r="Y30" s="5">
        <f>38+0/60</f>
        <v>38</v>
      </c>
      <c r="Z30" s="5">
        <f>38+0/60</f>
        <v>38</v>
      </c>
      <c r="AA30" s="5">
        <f>11+30/60</f>
        <v>11.5</v>
      </c>
      <c r="AB30" s="5">
        <f>20+26/60</f>
        <v>20.433333333333334</v>
      </c>
      <c r="AC30" s="5">
        <f>21+6/60</f>
        <v>21.1</v>
      </c>
      <c r="AD30" s="6">
        <v>0</v>
      </c>
      <c r="AE30" s="5" cm="1">
        <f t="array" ref="AE30">TRANSPOSE(AD31)</f>
        <v>9.1333333333333329</v>
      </c>
      <c r="AF30" s="2"/>
    </row>
    <row r="31" spans="1:32" ht="36" customHeight="1" x14ac:dyDescent="0.2">
      <c r="A31" s="13" t="s">
        <v>29</v>
      </c>
      <c r="B31" s="7">
        <f>33+0/60</f>
        <v>33</v>
      </c>
      <c r="C31" s="5">
        <f>34+13/60</f>
        <v>34.216666666666669</v>
      </c>
      <c r="D31" s="5">
        <f>9+24/60</f>
        <v>9.4</v>
      </c>
      <c r="E31" s="5">
        <f>0+41/60</f>
        <v>0.68333333333333335</v>
      </c>
      <c r="F31" s="5">
        <f>6+54/60</f>
        <v>6.9</v>
      </c>
      <c r="G31" s="5">
        <f>11+18/60</f>
        <v>11.3</v>
      </c>
      <c r="H31" s="5">
        <f>7+52/60</f>
        <v>7.8666666666666671</v>
      </c>
      <c r="I31" s="5">
        <f>5+52/60</f>
        <v>5.8666666666666671</v>
      </c>
      <c r="J31" s="5">
        <f>11+52/60</f>
        <v>11.866666666666667</v>
      </c>
      <c r="K31" s="5">
        <f>10+40/60</f>
        <v>10.666666666666666</v>
      </c>
      <c r="L31" s="5">
        <f>7+59/60</f>
        <v>7.9833333333333334</v>
      </c>
      <c r="M31" s="5">
        <f>20+14/60</f>
        <v>20.233333333333334</v>
      </c>
      <c r="N31" s="5">
        <f>15+38/60</f>
        <v>15.633333333333333</v>
      </c>
      <c r="O31" s="5">
        <f>36+43/60</f>
        <v>36.716666666666669</v>
      </c>
      <c r="P31" s="5">
        <f>38+49/60</f>
        <v>38.81666666666667</v>
      </c>
      <c r="Q31" s="5">
        <f>14+57/60</f>
        <v>14.95</v>
      </c>
      <c r="R31" s="5">
        <f>12+56/60</f>
        <v>12.933333333333334</v>
      </c>
      <c r="S31" s="5">
        <f>16+24/60</f>
        <v>16.399999999999999</v>
      </c>
      <c r="T31" s="5">
        <f>3+58/60</f>
        <v>3.9666666666666668</v>
      </c>
      <c r="U31" s="5">
        <f>4+45/60</f>
        <v>4.75</v>
      </c>
      <c r="V31" s="5">
        <f>2+29/60</f>
        <v>2.4833333333333334</v>
      </c>
      <c r="W31" s="5">
        <f>4+0/60</f>
        <v>4</v>
      </c>
      <c r="X31" s="5">
        <f>27+41/60</f>
        <v>27.683333333333334</v>
      </c>
      <c r="Y31" s="5">
        <f>39+39/60</f>
        <v>39.65</v>
      </c>
      <c r="Z31" s="5">
        <f>40+32/60</f>
        <v>40.533333333333331</v>
      </c>
      <c r="AA31" s="5">
        <f>13+9/60</f>
        <v>13.15</v>
      </c>
      <c r="AB31" s="5">
        <f>12+59/60</f>
        <v>12.983333333333333</v>
      </c>
      <c r="AC31" s="5">
        <f>19+16/60</f>
        <v>19.266666666666666</v>
      </c>
      <c r="AD31" s="5">
        <f>9+8/60</f>
        <v>9.1333333333333329</v>
      </c>
      <c r="AE31" s="6">
        <v>0</v>
      </c>
      <c r="AF31" s="2"/>
    </row>
    <row r="32" spans="1:32" ht="36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2:32" ht="36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2:32" ht="36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2:32" ht="36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2:32" ht="36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2:32" ht="36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2:32" ht="36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2:32" ht="36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2:32" ht="36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2:32" ht="36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2:32" ht="36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2:32" ht="36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2:32" ht="36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2" ht="36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2:32" ht="36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2" ht="36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2:32" ht="36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2" ht="36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2:32" ht="36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2:32" ht="36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2:32" ht="36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2" ht="36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2:32" ht="36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2:32" ht="36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2:32" ht="36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2:32" ht="36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2:32" ht="36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2:32" ht="36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2:32" ht="36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2:32" ht="36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2:32" ht="36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2:32" ht="36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2:32" ht="36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2" ht="36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2:32" ht="36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2" ht="36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2:32" ht="36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2:32" ht="36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2:32" ht="36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2:32" ht="36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2:32" ht="36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2:32" ht="36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2:32" ht="36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2:32" ht="36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2:32" ht="36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2:32" ht="36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2:32" ht="36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2:32" ht="36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2:32" ht="36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2:32" ht="36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2:32" ht="36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2" ht="36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2:32" ht="36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2" ht="36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2:32" ht="36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2" ht="36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2:32" ht="36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2:32" ht="36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2:32" ht="36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2:32" ht="36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2:32" ht="36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2:32" ht="36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2:32" ht="36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2:32" ht="36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2:32" ht="36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2:32" ht="36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2:32" ht="36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2:32" ht="36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2:32" ht="36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2:32" ht="36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2" ht="36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2" ht="36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2:32" ht="36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2" ht="36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2:32" ht="36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2" ht="36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2:32" ht="36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2:32" ht="36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2:32" ht="36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2:32" ht="36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2:32" ht="36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2:32" ht="36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2:32" ht="36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2:32" ht="36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2:32" ht="36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2:32" ht="36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2:32" ht="36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2:32" ht="36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2:32" ht="36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2:32" ht="36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2:32" ht="36" customHeight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2:32" ht="36" customHeight="1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2:32" ht="36" customHeight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2:32" ht="36" customHeight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2:32" ht="36" customHeight="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2:32" ht="36" customHeight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2:32" ht="36" customHeight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2:32" ht="36" customHeight="1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2:32" ht="36" customHeight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2:32" ht="36" customHeight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2:32" ht="36" customHeight="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2:32" ht="36" customHeight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2:32" ht="36" customHeight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2:32" ht="36" customHeight="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2:32" ht="36" customHeight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2:32" ht="36" customHeight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2:32" ht="36" customHeight="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2:32" ht="36" customHeight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2:32" ht="36" customHeight="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2:32" ht="36" customHeight="1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2:32" ht="36" customHeight="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2:32" ht="36" customHeight="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2:32" ht="36" customHeight="1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2:32" ht="36" customHeight="1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2:32" ht="36" customHeight="1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2:32" ht="36" customHeight="1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2:32" ht="36" customHeight="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2:32" ht="36" customHeight="1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2:32" ht="36" customHeight="1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2:32" ht="36" customHeight="1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2:32" ht="36" customHeight="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2:32" ht="36" customHeight="1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2:32" ht="36" customHeight="1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2:32" ht="36" customHeight="1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2:32" ht="36" customHeight="1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2:32" ht="36" customHeight="1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2:32" ht="36" customHeight="1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2:32" ht="36" customHeight="1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2:32" ht="36" customHeight="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2:32" ht="36" customHeight="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2:32" ht="36" customHeight="1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2:32" ht="36" customHeight="1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2:32" ht="36" customHeight="1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2:32" ht="36" customHeight="1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2:32" ht="36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2:32" ht="36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</sheetData>
  <sortState xmlns:xlrd2="http://schemas.microsoft.com/office/spreadsheetml/2017/richdata2" ref="A2:A31">
    <sortCondition ref="A2:A31"/>
  </sortState>
  <pageMargins left="0.25" right="0.25" top="0.75" bottom="0.75" header="0.3" footer="0.3"/>
  <pageSetup scale="49" orientation="landscape" horizontalDpi="0" verticalDpi="0"/>
  <ignoredErrors>
    <ignoredError sqref="I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 DIETRICH</dc:creator>
  <cp:lastModifiedBy>JONATHAN R DIETRICH</cp:lastModifiedBy>
  <cp:lastPrinted>2025-08-01T19:15:58Z</cp:lastPrinted>
  <dcterms:created xsi:type="dcterms:W3CDTF">2025-07-25T20:22:48Z</dcterms:created>
  <dcterms:modified xsi:type="dcterms:W3CDTF">2025-08-01T19:25:28Z</dcterms:modified>
</cp:coreProperties>
</file>